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jaminstone/Desktop/"/>
    </mc:Choice>
  </mc:AlternateContent>
  <xr:revisionPtr revIDLastSave="0" documentId="13_ncr:1_{5AB18315-DE73-C449-9196-7D3F3A6796DC}" xr6:coauthVersionLast="47" xr6:coauthVersionMax="47" xr10:uidLastSave="{00000000-0000-0000-0000-000000000000}"/>
  <bookViews>
    <workbookView xWindow="14520" yWindow="0" windowWidth="14280" windowHeight="18000" activeTab="2" xr2:uid="{4252C622-5AA4-4142-86BF-D6A208D449CA}"/>
  </bookViews>
  <sheets>
    <sheet name="Sheet1" sheetId="1" r:id="rId1"/>
    <sheet name="Sheet2" sheetId="2" r:id="rId2"/>
    <sheet name="Sheet3" sheetId="3" r:id="rId3"/>
    <sheet name="sp500_weekly" sheetId="5" r:id="rId4"/>
    <sheet name="Sheet4" sheetId="4" r:id="rId5"/>
  </sheets>
  <definedNames>
    <definedName name="ExternalData_1" localSheetId="3" hidden="1">sp500_weekly!$A$1:$F$21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3" l="1"/>
  <c r="C3" i="2"/>
  <c r="C4" i="2"/>
  <c r="C5" i="2"/>
  <c r="C6" i="2"/>
  <c r="C7" i="2"/>
  <c r="C8" i="2"/>
  <c r="C9" i="2"/>
  <c r="C10" i="2"/>
  <c r="C11" i="2"/>
  <c r="C2" i="2"/>
  <c r="M102" i="1"/>
  <c r="M103" i="1"/>
  <c r="M104" i="1"/>
  <c r="M105" i="1"/>
  <c r="M106" i="1"/>
  <c r="M107" i="1"/>
  <c r="M108" i="1"/>
  <c r="M109" i="1"/>
  <c r="M110" i="1"/>
  <c r="M101" i="1"/>
  <c r="C10" i="3"/>
  <c r="M91" i="1"/>
  <c r="M92" i="1"/>
  <c r="M93" i="1"/>
  <c r="M94" i="1"/>
  <c r="M95" i="1"/>
  <c r="M96" i="1"/>
  <c r="M97" i="1"/>
  <c r="M98" i="1"/>
  <c r="M99" i="1"/>
  <c r="M90" i="1"/>
  <c r="C9" i="3"/>
  <c r="M80" i="1"/>
  <c r="M81" i="1"/>
  <c r="M82" i="1"/>
  <c r="M83" i="1"/>
  <c r="M84" i="1"/>
  <c r="M85" i="1"/>
  <c r="M86" i="1"/>
  <c r="M87" i="1"/>
  <c r="M88" i="1"/>
  <c r="M79" i="1"/>
  <c r="C8" i="3"/>
  <c r="M69" i="1"/>
  <c r="M70" i="1"/>
  <c r="M71" i="1"/>
  <c r="M72" i="1"/>
  <c r="M73" i="1"/>
  <c r="M74" i="1"/>
  <c r="M75" i="1"/>
  <c r="M76" i="1"/>
  <c r="M77" i="1"/>
  <c r="M68" i="1"/>
  <c r="A3" i="1"/>
  <c r="A4" i="1" s="1"/>
  <c r="A5" i="1" s="1"/>
  <c r="A6" i="1" s="1"/>
  <c r="A7" i="1" s="1"/>
  <c r="A8" i="1" s="1"/>
  <c r="A9" i="1" s="1"/>
  <c r="A10" i="1" s="1"/>
  <c r="A11" i="1" s="1"/>
  <c r="M2" i="1"/>
  <c r="M3" i="1"/>
  <c r="M4" i="1"/>
  <c r="M5" i="1"/>
  <c r="M6" i="1"/>
  <c r="M7" i="1"/>
  <c r="M8" i="1"/>
  <c r="M9" i="1"/>
  <c r="M10" i="1"/>
  <c r="M11" i="1"/>
  <c r="M13" i="1"/>
  <c r="M14" i="1"/>
  <c r="M15" i="1"/>
  <c r="M16" i="1"/>
  <c r="M17" i="1"/>
  <c r="M18" i="1"/>
  <c r="M19" i="1"/>
  <c r="M20" i="1"/>
  <c r="M21" i="1"/>
  <c r="M22" i="1"/>
  <c r="M24" i="1"/>
  <c r="M25" i="1"/>
  <c r="M26" i="1"/>
  <c r="M27" i="1"/>
  <c r="M28" i="1"/>
  <c r="M29" i="1"/>
  <c r="M30" i="1"/>
  <c r="M31" i="1"/>
  <c r="M32" i="1"/>
  <c r="M33" i="1"/>
  <c r="M35" i="1"/>
  <c r="M36" i="1"/>
  <c r="M37" i="1"/>
  <c r="M38" i="1"/>
  <c r="M39" i="1"/>
  <c r="M40" i="1"/>
  <c r="M41" i="1"/>
  <c r="M42" i="1"/>
  <c r="M43" i="1"/>
  <c r="M44" i="1"/>
  <c r="M46" i="1"/>
  <c r="M47" i="1"/>
  <c r="M48" i="1"/>
  <c r="M49" i="1"/>
  <c r="M50" i="1"/>
  <c r="M51" i="1"/>
  <c r="M52" i="1"/>
  <c r="M53" i="1"/>
  <c r="M54" i="1"/>
  <c r="M55" i="1"/>
  <c r="M57" i="1"/>
  <c r="M58" i="1"/>
  <c r="M59" i="1"/>
  <c r="M60" i="1"/>
  <c r="M61" i="1"/>
  <c r="M62" i="1"/>
  <c r="M63" i="1"/>
  <c r="M64" i="1"/>
  <c r="M65" i="1"/>
  <c r="M66" i="1"/>
  <c r="C7" i="3"/>
  <c r="D3" i="3"/>
  <c r="C3" i="3"/>
  <c r="D3" i="2" l="1"/>
  <c r="E3" i="2" s="1"/>
  <c r="D4" i="2"/>
  <c r="E4" i="2" s="1"/>
  <c r="D5" i="2"/>
  <c r="E5" i="2" s="1"/>
  <c r="D6" i="2"/>
  <c r="E6" i="2" s="1"/>
  <c r="D7" i="2"/>
  <c r="E7" i="2" s="1"/>
  <c r="D8" i="2"/>
  <c r="E8" i="2" s="1"/>
  <c r="D9" i="2"/>
  <c r="E9" i="2" s="1"/>
  <c r="D10" i="2"/>
  <c r="E10" i="2" s="1"/>
  <c r="D11" i="2"/>
  <c r="E11" i="2" s="1"/>
  <c r="D2" i="2"/>
  <c r="E2" i="2" l="1"/>
  <c r="F2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DF9F6FB-EDBA-A04F-86AD-2D7F5BD0116D}" keepAlive="1" name="Query - sp500_weekly" description="Connection to the 'sp500_weekly' query in the workbook." type="5" refreshedVersion="8" background="1" saveData="1">
    <dbPr connection="Provider=Microsoft.Mashup.OleDb.1;Data Source=$Workbook$;Location=sp500_weekly;Extended Properties=&quot;&quot;" command="SELECT * FROM [sp500_weekly]"/>
  </connection>
</connections>
</file>

<file path=xl/sharedStrings.xml><?xml version="1.0" encoding="utf-8"?>
<sst xmlns="http://schemas.openxmlformats.org/spreadsheetml/2006/main" count="370" uniqueCount="160">
  <si>
    <t>Watch Name</t>
  </si>
  <si>
    <t>Watch Name:</t>
  </si>
  <si>
    <t>Rolex Submariner 126610LN Raw prices</t>
  </si>
  <si>
    <t>Rolex  Daytona Stainless Steel 116500LN</t>
  </si>
  <si>
    <t>Rolex GMT-Master ii Pepsi 126710BLRO</t>
  </si>
  <si>
    <t>Rolex Explorer i 124270</t>
  </si>
  <si>
    <t>AP Royal Oak 41mm 15500ST</t>
  </si>
  <si>
    <t>Patek Nautilus 5711/1A</t>
  </si>
  <si>
    <t>Patek Aquanaut 5167A</t>
  </si>
  <si>
    <t>Omega Speedmaster Professional 310.42.50.01.002</t>
  </si>
  <si>
    <t>Cartier Santos Large WSSA0030 Steel</t>
  </si>
  <si>
    <t>AP Royal Oak Chronograph 26331ST</t>
  </si>
  <si>
    <t>Price 1</t>
  </si>
  <si>
    <t>Price 2</t>
  </si>
  <si>
    <t>Price 3</t>
  </si>
  <si>
    <t>Price 4</t>
  </si>
  <si>
    <t>Price 5</t>
  </si>
  <si>
    <t>Price 6</t>
  </si>
  <si>
    <t>Price 7</t>
  </si>
  <si>
    <t>Price 8</t>
  </si>
  <si>
    <t>Price 9</t>
  </si>
  <si>
    <t>Price 10</t>
  </si>
  <si>
    <t>28/11/2025</t>
  </si>
  <si>
    <t>Median</t>
  </si>
  <si>
    <t>Median Today</t>
  </si>
  <si>
    <t>Base Price</t>
  </si>
  <si>
    <t xml:space="preserve">Normalised </t>
  </si>
  <si>
    <t>Date</t>
  </si>
  <si>
    <t>Index Value</t>
  </si>
  <si>
    <t>26/11/2025</t>
  </si>
  <si>
    <t>% Change from previous week</t>
  </si>
  <si>
    <t>% Change From Original (YTD)</t>
  </si>
  <si>
    <t>04/12/2025</t>
  </si>
  <si>
    <t>Date:</t>
  </si>
  <si>
    <t>13/12/2025</t>
  </si>
  <si>
    <t>19/12/2025</t>
  </si>
  <si>
    <t>08/01/2026</t>
  </si>
  <si>
    <t>08/012026</t>
  </si>
  <si>
    <t>15/03/2026</t>
  </si>
  <si>
    <t>Column1</t>
  </si>
  <si>
    <t>Column2</t>
  </si>
  <si>
    <t>Column3</t>
  </si>
  <si>
    <t>Column4</t>
  </si>
  <si>
    <t>Column5</t>
  </si>
  <si>
    <t>Column6</t>
  </si>
  <si>
    <t>Price</t>
  </si>
  <si>
    <t>Close</t>
  </si>
  <si>
    <t>High</t>
  </si>
  <si>
    <t>Low</t>
  </si>
  <si>
    <t>Open</t>
  </si>
  <si>
    <t>Volume</t>
  </si>
  <si>
    <t>Ticker</t>
  </si>
  <si>
    <t>^GSPC</t>
  </si>
  <si>
    <t/>
  </si>
  <si>
    <t>2025-11-24</t>
  </si>
  <si>
    <t>6849.08984375</t>
  </si>
  <si>
    <t>6850.85986328125</t>
  </si>
  <si>
    <t>6819.75</t>
  </si>
  <si>
    <t>6822.52001953125</t>
  </si>
  <si>
    <t>2558540000</t>
  </si>
  <si>
    <t>2025-12-01</t>
  </si>
  <si>
    <t>6870.39990234375</t>
  </si>
  <si>
    <t>6895.77978515625</t>
  </si>
  <si>
    <t>6799.93994140625</t>
  </si>
  <si>
    <t>6812.2998046875</t>
  </si>
  <si>
    <t>23685440000</t>
  </si>
  <si>
    <t>2025-12-08</t>
  </si>
  <si>
    <t>6827.41015625</t>
  </si>
  <si>
    <t>6903.4599609375</t>
  </si>
  <si>
    <t>6801.7900390625</t>
  </si>
  <si>
    <t>6875.2001953125</t>
  </si>
  <si>
    <t>24722970000</t>
  </si>
  <si>
    <t>2025-12-15</t>
  </si>
  <si>
    <t>6834.5</t>
  </si>
  <si>
    <t>6861.58984375</t>
  </si>
  <si>
    <t>6720.43017578125</t>
  </si>
  <si>
    <t>6860.18994140625</t>
  </si>
  <si>
    <t>28736560000</t>
  </si>
  <si>
    <t>2025-12-22</t>
  </si>
  <si>
    <t>6929.93994140625</t>
  </si>
  <si>
    <t>6945.77001953125</t>
  </si>
  <si>
    <t>6855.740234375</t>
  </si>
  <si>
    <t>6865.2099609375</t>
  </si>
  <si>
    <t>12670410000</t>
  </si>
  <si>
    <t>2025-12-29</t>
  </si>
  <si>
    <t>6858.47021484375</t>
  </si>
  <si>
    <t>6920.2099609375</t>
  </si>
  <si>
    <t>6824.31005859375</t>
  </si>
  <si>
    <t>6903.60009765625</t>
  </si>
  <si>
    <t>14297630000</t>
  </si>
  <si>
    <t>2026-01-05</t>
  </si>
  <si>
    <t>6966.27978515625</t>
  </si>
  <si>
    <t>6978.35986328125</t>
  </si>
  <si>
    <t>6891.56005859375</t>
  </si>
  <si>
    <t>6892.18994140625</t>
  </si>
  <si>
    <t>26993190000</t>
  </si>
  <si>
    <t>2026-01-12</t>
  </si>
  <si>
    <t>6940.009765625</t>
  </si>
  <si>
    <t>6986.330078125</t>
  </si>
  <si>
    <t>6885.740234375</t>
  </si>
  <si>
    <t>6944.1201171875</t>
  </si>
  <si>
    <t>26112200000</t>
  </si>
  <si>
    <t>2026-01-19</t>
  </si>
  <si>
    <t>6915.60986328125</t>
  </si>
  <si>
    <t>6934.75</t>
  </si>
  <si>
    <t>6789.0498046875</t>
  </si>
  <si>
    <t>6865.240234375</t>
  </si>
  <si>
    <t>21784530000</t>
  </si>
  <si>
    <t>2026-01-26</t>
  </si>
  <si>
    <t>6939.02978515625</t>
  </si>
  <si>
    <t>7002.27978515625</t>
  </si>
  <si>
    <t>6870.7998046875</t>
  </si>
  <si>
    <t>6923.22998046875</t>
  </si>
  <si>
    <t>29382560000</t>
  </si>
  <si>
    <t>2026-02-02</t>
  </si>
  <si>
    <t>6932.2998046875</t>
  </si>
  <si>
    <t>6993.080078125</t>
  </si>
  <si>
    <t>6780.1298828125</t>
  </si>
  <si>
    <t>6916.64013671875</t>
  </si>
  <si>
    <t>33538260000</t>
  </si>
  <si>
    <t>2026-02-09</t>
  </si>
  <si>
    <t>6836.169921875</t>
  </si>
  <si>
    <t>6993.47998046875</t>
  </si>
  <si>
    <t>6794.5498046875</t>
  </si>
  <si>
    <t>6917.259765625</t>
  </si>
  <si>
    <t>30258780000</t>
  </si>
  <si>
    <t>2026-02-16</t>
  </si>
  <si>
    <t>6909.509765625</t>
  </si>
  <si>
    <t>6915.85986328125</t>
  </si>
  <si>
    <t>6775.5</t>
  </si>
  <si>
    <t>6819.85986328125</t>
  </si>
  <si>
    <t>21100810000</t>
  </si>
  <si>
    <t>2026-02-23</t>
  </si>
  <si>
    <t>6878.8798828125</t>
  </si>
  <si>
    <t>6952.509765625</t>
  </si>
  <si>
    <t>6815.43017578125</t>
  </si>
  <si>
    <t>6901.25</t>
  </si>
  <si>
    <t>28787710000</t>
  </si>
  <si>
    <t>2026-03-02</t>
  </si>
  <si>
    <t>6740.02001953125</t>
  </si>
  <si>
    <t>6901.009765625</t>
  </si>
  <si>
    <t>6710.419921875</t>
  </si>
  <si>
    <t>6824.35986328125</t>
  </si>
  <si>
    <t>29555750000</t>
  </si>
  <si>
    <t>2026-03-09</t>
  </si>
  <si>
    <t>6632.18994140625</t>
  </si>
  <si>
    <t>6845.080078125</t>
  </si>
  <si>
    <t>6623.919921875</t>
  </si>
  <si>
    <t>6699.7998046875</t>
  </si>
  <si>
    <t>29794740000</t>
  </si>
  <si>
    <t>2026-03-16</t>
  </si>
  <si>
    <t>6606.490234375</t>
  </si>
  <si>
    <t>6754.2998046875</t>
  </si>
  <si>
    <t>6557.81982421875</t>
  </si>
  <si>
    <t>6674.3701171875</t>
  </si>
  <si>
    <t>18760118000</t>
  </si>
  <si>
    <t>22/03/2026</t>
  </si>
  <si>
    <t>29/03/2026</t>
  </si>
  <si>
    <t>05/04/2026</t>
  </si>
  <si>
    <t>12/04/2026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</si>
</sst>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5"/>
      </patternFill>
    </fill>
    <fill>
      <patternFill patternType="solid">
        <fgColor theme="7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</cellStyleXfs>
  <cellXfs count="6">
    <xf numFmtId="0" fontId="0" fillId="0" borderId="0" xfId="0"/>
    <xf numFmtId="10" fontId="0" fillId="0" borderId="0" xfId="0" applyNumberFormat="1"/>
    <xf numFmtId="0" fontId="2" fillId="2" borderId="0" xfId="1"/>
    <xf numFmtId="0" fontId="3" fillId="4" borderId="0" xfId="3" applyAlignment="1">
      <alignment horizontal="center" vertical="center"/>
    </xf>
    <xf numFmtId="0" fontId="3" fillId="3" borderId="0" xfId="2"/>
    <xf numFmtId="0" fontId="3" fillId="4" borderId="0" xfId="3" applyAlignment="1">
      <alignment horizontal="center"/>
    </xf>
  </cellXfs>
  <cellStyles count="4">
    <cellStyle name="Accent2" xfId="2" builtinId="33"/>
    <cellStyle name="Accent4" xfId="3" builtinId="41"/>
    <cellStyle name="Good" xfId="1" builtinId="26"/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79B5A4C-3F46-184D-AF1A-FBFEE038BCBB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CBC341-2E28-774C-9F3B-C3CDB119191B}" name="sp500_weekly" displayName="sp500_weekly" ref="A1:F21" tableType="queryTable" totalsRowShown="0">
  <autoFilter ref="A1:F21" xr:uid="{52CBC341-2E28-774C-9F3B-C3CDB119191B}"/>
  <tableColumns count="6">
    <tableColumn id="1" xr3:uid="{E7643D8B-499A-D24D-AA78-97BBB7EBC64B}" uniqueName="1" name="Column1" queryTableFieldId="1" dataDxfId="5"/>
    <tableColumn id="2" xr3:uid="{85308610-EAD0-B747-8249-B0959E575836}" uniqueName="2" name="Column2" queryTableFieldId="2" dataDxfId="4"/>
    <tableColumn id="3" xr3:uid="{A7A9AB41-EB61-6549-AB41-2241C41EB013}" uniqueName="3" name="Column3" queryTableFieldId="3" dataDxfId="3"/>
    <tableColumn id="4" xr3:uid="{656E5BF2-8871-0940-A90C-CC48CD87FA96}" uniqueName="4" name="Column4" queryTableFieldId="4" dataDxfId="2"/>
    <tableColumn id="5" xr3:uid="{905BF629-6FE0-DE45-8444-DDE84F643E60}" uniqueName="5" name="Column5" queryTableFieldId="5" dataDxfId="1"/>
    <tableColumn id="6" xr3:uid="{31370D75-07D5-B848-9EEF-D5FD7FCE204C}" uniqueName="6" name="Column6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00413-880B-B848-86BE-4DFBE12F300B}">
  <dimension ref="A1:M123"/>
  <sheetViews>
    <sheetView topLeftCell="A81" zoomScale="83" zoomScaleNormal="110" workbookViewId="0">
      <selection activeCell="N109" sqref="N109"/>
    </sheetView>
  </sheetViews>
  <sheetFormatPr baseColWidth="10" defaultRowHeight="16" x14ac:dyDescent="0.2"/>
  <cols>
    <col min="2" max="2" width="43.83203125" customWidth="1"/>
    <col min="12" max="12" width="11.6640625" bestFit="1" customWidth="1"/>
  </cols>
  <sheetData>
    <row r="1" spans="1:13" x14ac:dyDescent="0.2">
      <c r="A1" s="4" t="s">
        <v>33</v>
      </c>
      <c r="B1" s="4" t="s">
        <v>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  <c r="K1" s="3" t="s">
        <v>20</v>
      </c>
      <c r="L1" s="3" t="s">
        <v>21</v>
      </c>
      <c r="M1" s="2" t="s">
        <v>23</v>
      </c>
    </row>
    <row r="2" spans="1:13" x14ac:dyDescent="0.2">
      <c r="A2" s="4" t="s">
        <v>22</v>
      </c>
      <c r="B2" s="4" t="s">
        <v>2</v>
      </c>
      <c r="C2" s="3">
        <v>9900</v>
      </c>
      <c r="D2" s="3">
        <v>9950</v>
      </c>
      <c r="E2" s="3">
        <v>10000</v>
      </c>
      <c r="F2" s="3">
        <v>10168</v>
      </c>
      <c r="G2" s="3">
        <v>10220</v>
      </c>
      <c r="H2" s="3">
        <v>10225</v>
      </c>
      <c r="I2" s="3">
        <v>10250</v>
      </c>
      <c r="J2" s="3">
        <v>10250</v>
      </c>
      <c r="K2" s="3">
        <v>10250</v>
      </c>
      <c r="L2" s="3">
        <v>10327</v>
      </c>
      <c r="M2" s="2">
        <f>MEDIAN(C2:L2)</f>
        <v>10222.5</v>
      </c>
    </row>
    <row r="3" spans="1:13" x14ac:dyDescent="0.2">
      <c r="A3" s="4" t="str">
        <f>A2</f>
        <v>28/11/2025</v>
      </c>
      <c r="B3" s="4" t="s">
        <v>3</v>
      </c>
      <c r="C3" s="3">
        <v>20250</v>
      </c>
      <c r="D3" s="3">
        <v>20752</v>
      </c>
      <c r="E3" s="3">
        <v>21286</v>
      </c>
      <c r="F3" s="3">
        <v>21500</v>
      </c>
      <c r="G3" s="3">
        <v>21500</v>
      </c>
      <c r="H3" s="3">
        <v>21524</v>
      </c>
      <c r="I3" s="3">
        <v>21646</v>
      </c>
      <c r="J3" s="3">
        <v>21646</v>
      </c>
      <c r="K3" s="3">
        <v>21676</v>
      </c>
      <c r="L3" s="3">
        <v>22014</v>
      </c>
      <c r="M3" s="2">
        <f t="shared" ref="M3:M11" si="0">MEDIAN(C3:L3)</f>
        <v>21512</v>
      </c>
    </row>
    <row r="4" spans="1:13" x14ac:dyDescent="0.2">
      <c r="A4" s="4" t="str">
        <f t="shared" ref="A4:A11" si="1">A3</f>
        <v>28/11/2025</v>
      </c>
      <c r="B4" s="4" t="s">
        <v>4</v>
      </c>
      <c r="C4" s="3">
        <v>14900</v>
      </c>
      <c r="D4" s="3">
        <v>14950</v>
      </c>
      <c r="E4" s="3">
        <v>15097</v>
      </c>
      <c r="F4" s="3">
        <v>15150</v>
      </c>
      <c r="G4" s="3">
        <v>15200</v>
      </c>
      <c r="H4" s="3">
        <v>15200</v>
      </c>
      <c r="I4" s="3">
        <v>15250</v>
      </c>
      <c r="J4" s="3">
        <v>15250</v>
      </c>
      <c r="K4" s="3">
        <v>15295</v>
      </c>
      <c r="L4" s="3">
        <v>15394</v>
      </c>
      <c r="M4" s="2">
        <f t="shared" si="0"/>
        <v>15200</v>
      </c>
    </row>
    <row r="5" spans="1:13" x14ac:dyDescent="0.2">
      <c r="A5" s="4" t="str">
        <f t="shared" si="1"/>
        <v>28/11/2025</v>
      </c>
      <c r="B5" s="4" t="s">
        <v>5</v>
      </c>
      <c r="C5" s="3">
        <v>5559</v>
      </c>
      <c r="D5" s="3">
        <v>5600</v>
      </c>
      <c r="E5" s="3">
        <v>5700</v>
      </c>
      <c r="F5" s="3">
        <v>5925</v>
      </c>
      <c r="G5" s="3">
        <v>5958</v>
      </c>
      <c r="H5" s="3">
        <v>6015</v>
      </c>
      <c r="I5" s="3">
        <v>6051</v>
      </c>
      <c r="J5" s="3">
        <v>6051</v>
      </c>
      <c r="K5" s="3">
        <v>6079</v>
      </c>
      <c r="L5" s="3">
        <v>6084</v>
      </c>
      <c r="M5" s="2">
        <f t="shared" si="0"/>
        <v>5986.5</v>
      </c>
    </row>
    <row r="6" spans="1:13" x14ac:dyDescent="0.2">
      <c r="A6" s="4" t="str">
        <f t="shared" si="1"/>
        <v>28/11/2025</v>
      </c>
      <c r="B6" s="4" t="s">
        <v>6</v>
      </c>
      <c r="C6" s="3">
        <v>28268</v>
      </c>
      <c r="D6" s="3">
        <v>28655</v>
      </c>
      <c r="E6" s="3">
        <v>28950</v>
      </c>
      <c r="F6" s="3">
        <v>29197</v>
      </c>
      <c r="G6" s="3">
        <v>29223</v>
      </c>
      <c r="H6" s="3">
        <v>29316</v>
      </c>
      <c r="I6" s="3">
        <v>29817</v>
      </c>
      <c r="J6" s="3">
        <v>29995</v>
      </c>
      <c r="K6" s="3">
        <v>30023</v>
      </c>
      <c r="L6" s="3">
        <v>30200</v>
      </c>
      <c r="M6" s="2">
        <f t="shared" si="0"/>
        <v>29269.5</v>
      </c>
    </row>
    <row r="7" spans="1:13" x14ac:dyDescent="0.2">
      <c r="A7" s="4" t="str">
        <f t="shared" si="1"/>
        <v>28/11/2025</v>
      </c>
      <c r="B7" s="4" t="s">
        <v>7</v>
      </c>
      <c r="C7" s="3">
        <v>61934</v>
      </c>
      <c r="D7" s="3">
        <v>68453</v>
      </c>
      <c r="E7" s="3">
        <v>77000</v>
      </c>
      <c r="F7" s="3">
        <v>79858</v>
      </c>
      <c r="G7" s="3">
        <v>79950</v>
      </c>
      <c r="H7" s="3">
        <v>80912</v>
      </c>
      <c r="I7" s="3">
        <v>80912</v>
      </c>
      <c r="J7" s="3">
        <v>80912</v>
      </c>
      <c r="K7" s="3">
        <v>80912</v>
      </c>
      <c r="L7" s="3">
        <v>82092</v>
      </c>
      <c r="M7" s="2">
        <f t="shared" si="0"/>
        <v>80431</v>
      </c>
    </row>
    <row r="8" spans="1:13" x14ac:dyDescent="0.2">
      <c r="A8" s="4" t="str">
        <f t="shared" si="1"/>
        <v>28/11/2025</v>
      </c>
      <c r="B8" s="4" t="s">
        <v>8</v>
      </c>
      <c r="C8" s="3">
        <v>44136</v>
      </c>
      <c r="D8" s="3">
        <v>46467</v>
      </c>
      <c r="E8" s="3">
        <v>47500</v>
      </c>
      <c r="F8" s="3">
        <v>47560</v>
      </c>
      <c r="G8" s="3">
        <v>48000</v>
      </c>
      <c r="H8" s="3">
        <v>48016</v>
      </c>
      <c r="I8" s="3">
        <v>48016</v>
      </c>
      <c r="J8" s="3">
        <v>48388</v>
      </c>
      <c r="K8" s="3">
        <v>48404</v>
      </c>
      <c r="L8" s="3">
        <v>49450</v>
      </c>
      <c r="M8" s="2">
        <f t="shared" si="0"/>
        <v>48008</v>
      </c>
    </row>
    <row r="9" spans="1:13" x14ac:dyDescent="0.2">
      <c r="A9" s="4" t="str">
        <f t="shared" si="1"/>
        <v>28/11/2025</v>
      </c>
      <c r="B9" s="4" t="s">
        <v>9</v>
      </c>
      <c r="C9" s="3">
        <v>4360</v>
      </c>
      <c r="D9" s="3">
        <v>4360</v>
      </c>
      <c r="E9" s="3">
        <v>4360</v>
      </c>
      <c r="F9" s="3">
        <v>4360</v>
      </c>
      <c r="G9" s="3">
        <v>4390</v>
      </c>
      <c r="H9" s="3">
        <v>4459</v>
      </c>
      <c r="I9" s="3">
        <v>4508</v>
      </c>
      <c r="J9" s="3">
        <v>4647</v>
      </c>
      <c r="K9" s="3">
        <v>4707</v>
      </c>
      <c r="L9" s="3">
        <v>4756</v>
      </c>
      <c r="M9" s="2">
        <f t="shared" si="0"/>
        <v>4424.5</v>
      </c>
    </row>
    <row r="10" spans="1:13" x14ac:dyDescent="0.2">
      <c r="A10" s="4" t="str">
        <f t="shared" si="1"/>
        <v>28/11/2025</v>
      </c>
      <c r="B10" s="4" t="s">
        <v>10</v>
      </c>
      <c r="C10" s="3">
        <v>4260</v>
      </c>
      <c r="D10" s="3">
        <v>4779</v>
      </c>
      <c r="E10" s="3">
        <v>4810</v>
      </c>
      <c r="F10" s="3">
        <v>5153</v>
      </c>
      <c r="G10" s="3">
        <v>5400</v>
      </c>
      <c r="H10" s="3">
        <v>5400</v>
      </c>
      <c r="I10" s="3">
        <v>5421</v>
      </c>
      <c r="J10" s="3">
        <v>5525</v>
      </c>
      <c r="K10" s="3">
        <v>5630</v>
      </c>
      <c r="L10" s="3">
        <v>5731</v>
      </c>
      <c r="M10" s="2">
        <f t="shared" si="0"/>
        <v>5400</v>
      </c>
    </row>
    <row r="11" spans="1:13" x14ac:dyDescent="0.2">
      <c r="A11" s="4" t="str">
        <f t="shared" si="1"/>
        <v>28/11/2025</v>
      </c>
      <c r="B11" s="4" t="s">
        <v>11</v>
      </c>
      <c r="C11" s="3">
        <v>29500</v>
      </c>
      <c r="D11" s="3">
        <v>30000</v>
      </c>
      <c r="E11" s="3">
        <v>30786</v>
      </c>
      <c r="F11" s="3">
        <v>30950</v>
      </c>
      <c r="G11" s="3">
        <v>31237</v>
      </c>
      <c r="H11" s="3">
        <v>31512</v>
      </c>
      <c r="I11" s="3">
        <v>31675</v>
      </c>
      <c r="J11" s="3">
        <v>31688</v>
      </c>
      <c r="K11" s="3">
        <v>31997</v>
      </c>
      <c r="L11" s="3">
        <v>32139</v>
      </c>
      <c r="M11" s="2">
        <f t="shared" si="0"/>
        <v>31374.5</v>
      </c>
    </row>
    <row r="12" spans="1:13" x14ac:dyDescent="0.2">
      <c r="A12" s="4"/>
      <c r="B12" s="4"/>
      <c r="C12" s="3"/>
      <c r="D12" s="3"/>
      <c r="E12" s="3"/>
      <c r="F12" s="3"/>
      <c r="G12" s="3"/>
      <c r="H12" s="3"/>
      <c r="I12" s="3"/>
      <c r="J12" s="3"/>
      <c r="K12" s="3"/>
      <c r="L12" s="3"/>
      <c r="M12" s="2"/>
    </row>
    <row r="13" spans="1:13" x14ac:dyDescent="0.2">
      <c r="A13" s="4" t="s">
        <v>32</v>
      </c>
      <c r="B13" s="4" t="s">
        <v>2</v>
      </c>
      <c r="C13" s="3">
        <v>9900</v>
      </c>
      <c r="D13" s="3">
        <v>10000</v>
      </c>
      <c r="E13" s="3">
        <v>10105</v>
      </c>
      <c r="F13" s="3">
        <v>10210</v>
      </c>
      <c r="G13" s="3">
        <v>10250</v>
      </c>
      <c r="H13" s="3">
        <v>10250</v>
      </c>
      <c r="I13" s="3">
        <v>10250</v>
      </c>
      <c r="J13" s="3">
        <v>10295</v>
      </c>
      <c r="K13" s="3">
        <v>10316</v>
      </c>
      <c r="L13" s="3">
        <v>10324</v>
      </c>
      <c r="M13" s="2">
        <f>MEDIAN(C13:L13)</f>
        <v>10250</v>
      </c>
    </row>
    <row r="14" spans="1:13" x14ac:dyDescent="0.2">
      <c r="A14" s="4" t="s">
        <v>32</v>
      </c>
      <c r="B14" s="4" t="s">
        <v>3</v>
      </c>
      <c r="C14" s="3">
        <v>18495</v>
      </c>
      <c r="D14" s="3">
        <v>18750</v>
      </c>
      <c r="E14" s="3">
        <v>18850</v>
      </c>
      <c r="F14" s="3">
        <v>18995</v>
      </c>
      <c r="G14" s="3">
        <v>19450</v>
      </c>
      <c r="H14" s="3">
        <v>19566</v>
      </c>
      <c r="I14" s="3">
        <v>19592</v>
      </c>
      <c r="J14" s="3">
        <v>19610</v>
      </c>
      <c r="K14" s="3">
        <v>19650</v>
      </c>
      <c r="L14" s="3">
        <v>19660</v>
      </c>
      <c r="M14" s="2">
        <f t="shared" ref="M14:M22" si="2">MEDIAN(C14:L14)</f>
        <v>19508</v>
      </c>
    </row>
    <row r="15" spans="1:13" x14ac:dyDescent="0.2">
      <c r="A15" s="4" t="s">
        <v>32</v>
      </c>
      <c r="B15" s="4" t="s">
        <v>4</v>
      </c>
      <c r="C15" s="3">
        <v>14950</v>
      </c>
      <c r="D15" s="3">
        <v>14995</v>
      </c>
      <c r="E15" s="3">
        <v>14995</v>
      </c>
      <c r="F15" s="3">
        <v>15128</v>
      </c>
      <c r="G15" s="3">
        <v>15200</v>
      </c>
      <c r="H15" s="3">
        <v>15295</v>
      </c>
      <c r="I15" s="3">
        <v>15447</v>
      </c>
      <c r="J15" s="3">
        <v>15449</v>
      </c>
      <c r="K15" s="3">
        <v>15450</v>
      </c>
      <c r="L15" s="3">
        <v>15490</v>
      </c>
      <c r="M15" s="2">
        <f t="shared" si="2"/>
        <v>15247.5</v>
      </c>
    </row>
    <row r="16" spans="1:13" x14ac:dyDescent="0.2">
      <c r="A16" s="4" t="s">
        <v>32</v>
      </c>
      <c r="B16" s="4" t="s">
        <v>5</v>
      </c>
      <c r="C16" s="3">
        <v>5875</v>
      </c>
      <c r="D16" s="3">
        <v>5963</v>
      </c>
      <c r="E16" s="3">
        <v>5970</v>
      </c>
      <c r="F16" s="3">
        <v>6158</v>
      </c>
      <c r="G16" s="3">
        <v>6158</v>
      </c>
      <c r="H16" s="3">
        <v>6250</v>
      </c>
      <c r="I16" s="3">
        <v>6250</v>
      </c>
      <c r="J16" s="3">
        <v>6255</v>
      </c>
      <c r="K16" s="3">
        <v>6295</v>
      </c>
      <c r="L16" s="3">
        <v>6300</v>
      </c>
      <c r="M16" s="2">
        <f t="shared" si="2"/>
        <v>6204</v>
      </c>
    </row>
    <row r="17" spans="1:13" x14ac:dyDescent="0.2">
      <c r="A17" s="4" t="s">
        <v>32</v>
      </c>
      <c r="B17" s="4" t="s">
        <v>6</v>
      </c>
      <c r="C17" s="3">
        <v>28429</v>
      </c>
      <c r="D17" s="3">
        <v>28450</v>
      </c>
      <c r="E17" s="3">
        <v>28967</v>
      </c>
      <c r="F17" s="3">
        <v>29284</v>
      </c>
      <c r="G17" s="3">
        <v>29356</v>
      </c>
      <c r="H17" s="3">
        <v>29582</v>
      </c>
      <c r="I17" s="3">
        <v>29833</v>
      </c>
      <c r="J17" s="3">
        <v>29962</v>
      </c>
      <c r="K17" s="3">
        <v>29962</v>
      </c>
      <c r="L17" s="3">
        <v>29965</v>
      </c>
      <c r="M17" s="2">
        <f t="shared" si="2"/>
        <v>29469</v>
      </c>
    </row>
    <row r="18" spans="1:13" x14ac:dyDescent="0.2">
      <c r="A18" s="4" t="s">
        <v>32</v>
      </c>
      <c r="B18" s="4" t="s">
        <v>7</v>
      </c>
      <c r="C18" s="3">
        <v>61446</v>
      </c>
      <c r="D18" s="3">
        <v>68296</v>
      </c>
      <c r="E18" s="3">
        <v>77000</v>
      </c>
      <c r="F18" s="3">
        <v>70776</v>
      </c>
      <c r="G18" s="3">
        <v>79950</v>
      </c>
      <c r="H18" s="3">
        <v>80275</v>
      </c>
      <c r="I18" s="3">
        <v>80275</v>
      </c>
      <c r="J18" s="3">
        <v>80275</v>
      </c>
      <c r="K18" s="3">
        <v>80673</v>
      </c>
      <c r="L18" s="3">
        <v>81445</v>
      </c>
      <c r="M18" s="2">
        <f t="shared" si="2"/>
        <v>80112.5</v>
      </c>
    </row>
    <row r="19" spans="1:13" x14ac:dyDescent="0.2">
      <c r="A19" s="4" t="s">
        <v>32</v>
      </c>
      <c r="B19" s="4" t="s">
        <v>8</v>
      </c>
      <c r="C19" s="3">
        <v>44136</v>
      </c>
      <c r="D19" s="3">
        <v>46101</v>
      </c>
      <c r="E19" s="3">
        <v>47496</v>
      </c>
      <c r="F19" s="3">
        <v>47638</v>
      </c>
      <c r="G19" s="3">
        <v>48000</v>
      </c>
      <c r="H19" s="3">
        <v>48007</v>
      </c>
      <c r="I19" s="3">
        <v>48022</v>
      </c>
      <c r="J19" s="3">
        <v>49098</v>
      </c>
      <c r="K19" s="3">
        <v>49444</v>
      </c>
      <c r="L19" s="3">
        <v>49786</v>
      </c>
      <c r="M19" s="2">
        <f t="shared" si="2"/>
        <v>48003.5</v>
      </c>
    </row>
    <row r="20" spans="1:13" x14ac:dyDescent="0.2">
      <c r="A20" s="4" t="s">
        <v>32</v>
      </c>
      <c r="B20" s="4" t="s">
        <v>9</v>
      </c>
      <c r="C20" s="3">
        <v>3984</v>
      </c>
      <c r="D20" s="3">
        <v>4047</v>
      </c>
      <c r="E20" s="3">
        <v>4108</v>
      </c>
      <c r="F20" s="3">
        <v>4369</v>
      </c>
      <c r="G20" s="3">
        <v>4369</v>
      </c>
      <c r="H20" s="3">
        <v>4369</v>
      </c>
      <c r="I20" s="3">
        <v>4369</v>
      </c>
      <c r="J20" s="3">
        <v>4399</v>
      </c>
      <c r="K20" s="3">
        <v>4468</v>
      </c>
      <c r="L20" s="3">
        <v>4518</v>
      </c>
      <c r="M20" s="2">
        <f t="shared" si="2"/>
        <v>4369</v>
      </c>
    </row>
    <row r="21" spans="1:13" x14ac:dyDescent="0.2">
      <c r="A21" s="4" t="s">
        <v>32</v>
      </c>
      <c r="B21" s="4" t="s">
        <v>10</v>
      </c>
      <c r="C21" s="3">
        <v>4226</v>
      </c>
      <c r="D21" s="3">
        <v>5163</v>
      </c>
      <c r="E21" s="3">
        <v>5365</v>
      </c>
      <c r="F21" s="3">
        <v>5365</v>
      </c>
      <c r="G21" s="3">
        <v>5378</v>
      </c>
      <c r="H21" s="3">
        <v>5525</v>
      </c>
      <c r="I21" s="3">
        <v>5586</v>
      </c>
      <c r="J21" s="3">
        <v>5686</v>
      </c>
      <c r="K21" s="3">
        <v>5695</v>
      </c>
      <c r="L21" s="3">
        <v>5763</v>
      </c>
      <c r="M21" s="2">
        <f t="shared" si="2"/>
        <v>5451.5</v>
      </c>
    </row>
    <row r="22" spans="1:13" x14ac:dyDescent="0.2">
      <c r="A22" s="4" t="s">
        <v>32</v>
      </c>
      <c r="B22" s="4" t="s">
        <v>11</v>
      </c>
      <c r="C22" s="3">
        <v>29500</v>
      </c>
      <c r="D22" s="3">
        <v>30000</v>
      </c>
      <c r="E22" s="3">
        <v>30850</v>
      </c>
      <c r="F22" s="3">
        <v>30950</v>
      </c>
      <c r="G22" s="3">
        <v>31242</v>
      </c>
      <c r="H22" s="3">
        <v>31302</v>
      </c>
      <c r="I22" s="3">
        <v>31391</v>
      </c>
      <c r="J22" s="3">
        <v>31426</v>
      </c>
      <c r="K22" s="3">
        <v>31691</v>
      </c>
      <c r="L22" s="3">
        <v>31754</v>
      </c>
      <c r="M22" s="2">
        <f t="shared" si="2"/>
        <v>31272</v>
      </c>
    </row>
    <row r="23" spans="1:13" x14ac:dyDescent="0.2">
      <c r="A23" s="4"/>
      <c r="B23" s="4"/>
      <c r="C23" s="3"/>
      <c r="D23" s="3"/>
      <c r="E23" s="3"/>
      <c r="F23" s="3"/>
      <c r="G23" s="3"/>
      <c r="H23" s="3"/>
      <c r="I23" s="3"/>
      <c r="J23" s="3"/>
      <c r="K23" s="3"/>
      <c r="L23" s="3"/>
      <c r="M23" s="2"/>
    </row>
    <row r="24" spans="1:13" x14ac:dyDescent="0.2">
      <c r="A24" s="4" t="s">
        <v>34</v>
      </c>
      <c r="B24" s="4" t="s">
        <v>2</v>
      </c>
      <c r="C24" s="3">
        <v>9650</v>
      </c>
      <c r="D24" s="3">
        <v>10000</v>
      </c>
      <c r="E24" s="3">
        <v>10350</v>
      </c>
      <c r="F24" s="3">
        <v>10543</v>
      </c>
      <c r="G24" s="3">
        <v>10550</v>
      </c>
      <c r="H24" s="3">
        <v>10750</v>
      </c>
      <c r="I24" s="3">
        <v>10781</v>
      </c>
      <c r="J24" s="3">
        <v>10798</v>
      </c>
      <c r="K24" s="3">
        <v>10800</v>
      </c>
      <c r="L24" s="3">
        <v>10839</v>
      </c>
      <c r="M24" s="2">
        <f>MEDIAN(C24:L24)</f>
        <v>10650</v>
      </c>
    </row>
    <row r="25" spans="1:13" x14ac:dyDescent="0.2">
      <c r="A25" s="4" t="s">
        <v>34</v>
      </c>
      <c r="B25" s="4" t="s">
        <v>3</v>
      </c>
      <c r="C25" s="3">
        <v>19545</v>
      </c>
      <c r="D25" s="3">
        <v>19950</v>
      </c>
      <c r="E25" s="3">
        <v>20000</v>
      </c>
      <c r="F25" s="3">
        <v>20450</v>
      </c>
      <c r="G25" s="3">
        <v>20497</v>
      </c>
      <c r="H25" s="3">
        <v>20584</v>
      </c>
      <c r="I25" s="3">
        <v>20605</v>
      </c>
      <c r="J25" s="3">
        <v>20675</v>
      </c>
      <c r="K25" s="3">
        <v>20679</v>
      </c>
      <c r="L25" s="3">
        <v>20700</v>
      </c>
      <c r="M25" s="2">
        <f t="shared" ref="M25:M33" si="3">MEDIAN(C25:L25)</f>
        <v>20540.5</v>
      </c>
    </row>
    <row r="26" spans="1:13" x14ac:dyDescent="0.2">
      <c r="A26" s="4" t="s">
        <v>34</v>
      </c>
      <c r="B26" s="4" t="s">
        <v>4</v>
      </c>
      <c r="C26" s="3">
        <v>15250</v>
      </c>
      <c r="D26" s="3">
        <v>15447</v>
      </c>
      <c r="E26" s="3">
        <v>15449</v>
      </c>
      <c r="F26" s="3">
        <v>15949</v>
      </c>
      <c r="G26" s="3">
        <v>15950</v>
      </c>
      <c r="H26" s="3">
        <v>15972</v>
      </c>
      <c r="I26" s="3">
        <v>15997</v>
      </c>
      <c r="J26" s="3">
        <v>16009</v>
      </c>
      <c r="K26" s="3">
        <v>16076</v>
      </c>
      <c r="L26" s="3">
        <v>16096</v>
      </c>
      <c r="M26" s="2">
        <f t="shared" si="3"/>
        <v>15961</v>
      </c>
    </row>
    <row r="27" spans="1:13" x14ac:dyDescent="0.2">
      <c r="A27" s="4" t="s">
        <v>34</v>
      </c>
      <c r="B27" s="4" t="s">
        <v>5</v>
      </c>
      <c r="C27" s="3">
        <v>6250</v>
      </c>
      <c r="D27" s="3">
        <v>6625</v>
      </c>
      <c r="E27" s="3">
        <v>6888</v>
      </c>
      <c r="F27" s="3">
        <v>6940</v>
      </c>
      <c r="G27" s="3">
        <v>6945</v>
      </c>
      <c r="H27" s="3">
        <v>6964</v>
      </c>
      <c r="I27" s="3">
        <v>6995</v>
      </c>
      <c r="J27" s="3">
        <v>7000</v>
      </c>
      <c r="K27" s="3">
        <v>7009</v>
      </c>
      <c r="L27" s="3">
        <v>7040</v>
      </c>
      <c r="M27" s="2">
        <f t="shared" si="3"/>
        <v>6954.5</v>
      </c>
    </row>
    <row r="28" spans="1:13" x14ac:dyDescent="0.2">
      <c r="A28" s="4" t="s">
        <v>34</v>
      </c>
      <c r="B28" s="4" t="s">
        <v>6</v>
      </c>
      <c r="C28" s="3">
        <v>29492</v>
      </c>
      <c r="D28" s="3">
        <v>29682</v>
      </c>
      <c r="E28" s="3">
        <v>29950</v>
      </c>
      <c r="F28" s="3">
        <v>30449</v>
      </c>
      <c r="G28" s="3">
        <v>30500</v>
      </c>
      <c r="H28" s="3">
        <v>30602</v>
      </c>
      <c r="I28" s="3">
        <v>30637</v>
      </c>
      <c r="J28" s="3">
        <v>30963</v>
      </c>
      <c r="K28" s="3">
        <v>30963</v>
      </c>
      <c r="L28" s="3">
        <v>31253</v>
      </c>
      <c r="M28" s="2">
        <f t="shared" si="3"/>
        <v>30551</v>
      </c>
    </row>
    <row r="29" spans="1:13" x14ac:dyDescent="0.2">
      <c r="A29" s="4" t="s">
        <v>34</v>
      </c>
      <c r="B29" s="4" t="s">
        <v>7</v>
      </c>
      <c r="C29" s="3">
        <v>61259</v>
      </c>
      <c r="D29" s="3">
        <v>68090</v>
      </c>
      <c r="E29" s="3">
        <v>77000</v>
      </c>
      <c r="F29" s="3">
        <v>78500</v>
      </c>
      <c r="G29" s="3">
        <v>79950</v>
      </c>
      <c r="H29" s="3">
        <v>79977</v>
      </c>
      <c r="I29" s="3">
        <v>80031</v>
      </c>
      <c r="J29" s="3">
        <v>81197</v>
      </c>
      <c r="K29" s="3">
        <v>82500</v>
      </c>
      <c r="L29" s="3">
        <v>83122</v>
      </c>
      <c r="M29" s="2">
        <f t="shared" si="3"/>
        <v>79963.5</v>
      </c>
    </row>
    <row r="30" spans="1:13" x14ac:dyDescent="0.2">
      <c r="A30" s="4" t="s">
        <v>34</v>
      </c>
      <c r="B30" s="4" t="s">
        <v>8</v>
      </c>
      <c r="C30" s="3">
        <v>50450</v>
      </c>
      <c r="D30" s="3">
        <v>52200</v>
      </c>
      <c r="E30" s="3">
        <v>52319</v>
      </c>
      <c r="F30" s="3">
        <v>52855</v>
      </c>
      <c r="G30" s="3">
        <v>54000</v>
      </c>
      <c r="H30" s="3">
        <v>54295</v>
      </c>
      <c r="I30" s="3">
        <v>54607</v>
      </c>
      <c r="J30" s="3">
        <v>54950</v>
      </c>
      <c r="K30" s="3">
        <v>54962</v>
      </c>
      <c r="L30" s="3">
        <v>55904</v>
      </c>
      <c r="M30" s="2">
        <f t="shared" si="3"/>
        <v>54147.5</v>
      </c>
    </row>
    <row r="31" spans="1:13" x14ac:dyDescent="0.2">
      <c r="A31" s="4" t="s">
        <v>34</v>
      </c>
      <c r="B31" s="4" t="s">
        <v>9</v>
      </c>
      <c r="C31" s="3">
        <v>4330</v>
      </c>
      <c r="D31" s="3">
        <v>4418</v>
      </c>
      <c r="E31" s="3">
        <v>4418</v>
      </c>
      <c r="F31" s="3">
        <v>4418</v>
      </c>
      <c r="G31" s="3">
        <v>4709</v>
      </c>
      <c r="H31" s="3">
        <v>4714</v>
      </c>
      <c r="I31" s="3">
        <v>4821</v>
      </c>
      <c r="J31" s="3">
        <v>4865</v>
      </c>
      <c r="K31" s="3">
        <v>4865</v>
      </c>
      <c r="L31" s="3">
        <v>5077</v>
      </c>
      <c r="M31" s="2">
        <f t="shared" si="3"/>
        <v>4711.5</v>
      </c>
    </row>
    <row r="32" spans="1:13" x14ac:dyDescent="0.2">
      <c r="A32" s="4" t="s">
        <v>34</v>
      </c>
      <c r="B32" s="4" t="s">
        <v>10</v>
      </c>
      <c r="C32" s="3">
        <v>5745</v>
      </c>
      <c r="D32" s="3">
        <v>5925</v>
      </c>
      <c r="E32" s="3">
        <v>5937</v>
      </c>
      <c r="F32" s="3">
        <v>5975</v>
      </c>
      <c r="G32" s="3">
        <v>6281</v>
      </c>
      <c r="H32" s="3">
        <v>6320</v>
      </c>
      <c r="I32" s="3">
        <v>6354</v>
      </c>
      <c r="J32" s="3">
        <v>6435</v>
      </c>
      <c r="K32" s="3">
        <v>6473</v>
      </c>
      <c r="L32" s="3">
        <v>6497</v>
      </c>
      <c r="M32" s="2">
        <f t="shared" si="3"/>
        <v>6300.5</v>
      </c>
    </row>
    <row r="33" spans="1:13" x14ac:dyDescent="0.2">
      <c r="A33" s="4" t="s">
        <v>34</v>
      </c>
      <c r="B33" s="4" t="s">
        <v>11</v>
      </c>
      <c r="C33" s="3">
        <v>30000</v>
      </c>
      <c r="D33" s="3">
        <v>30963</v>
      </c>
      <c r="E33" s="3">
        <v>31710</v>
      </c>
      <c r="F33" s="3">
        <v>33739</v>
      </c>
      <c r="G33" s="3">
        <v>33750</v>
      </c>
      <c r="H33" s="3">
        <v>34046</v>
      </c>
      <c r="I33" s="3">
        <v>34058</v>
      </c>
      <c r="J33" s="3">
        <v>34218</v>
      </c>
      <c r="K33" s="3">
        <v>35037</v>
      </c>
      <c r="L33" s="3">
        <v>35229</v>
      </c>
      <c r="M33" s="2">
        <f t="shared" si="3"/>
        <v>33898</v>
      </c>
    </row>
    <row r="34" spans="1:13" x14ac:dyDescent="0.2">
      <c r="A34" s="4"/>
      <c r="B34" s="4"/>
      <c r="C34" s="3"/>
      <c r="D34" s="3"/>
      <c r="E34" s="3"/>
      <c r="F34" s="3"/>
      <c r="G34" s="3"/>
      <c r="H34" s="3"/>
      <c r="I34" s="3"/>
      <c r="J34" s="3"/>
      <c r="K34" s="3"/>
      <c r="L34" s="3"/>
      <c r="M34" s="2"/>
    </row>
    <row r="35" spans="1:13" x14ac:dyDescent="0.2">
      <c r="A35" s="4" t="s">
        <v>35</v>
      </c>
      <c r="B35" s="4" t="s">
        <v>2</v>
      </c>
      <c r="C35" s="3">
        <v>10000</v>
      </c>
      <c r="D35" s="3">
        <v>10543</v>
      </c>
      <c r="E35" s="3">
        <v>10550</v>
      </c>
      <c r="F35" s="3">
        <v>10689</v>
      </c>
      <c r="G35" s="3">
        <v>10735</v>
      </c>
      <c r="H35" s="3">
        <v>10750</v>
      </c>
      <c r="I35" s="3">
        <v>10766</v>
      </c>
      <c r="J35" s="3">
        <v>10800</v>
      </c>
      <c r="K35" s="3">
        <v>10824</v>
      </c>
      <c r="L35" s="3">
        <v>10850</v>
      </c>
      <c r="M35" s="2">
        <f>MEDIAN(C35:L35)</f>
        <v>10742.5</v>
      </c>
    </row>
    <row r="36" spans="1:13" x14ac:dyDescent="0.2">
      <c r="A36" s="4" t="s">
        <v>35</v>
      </c>
      <c r="B36" s="4" t="s">
        <v>3</v>
      </c>
      <c r="C36" s="3">
        <v>19950</v>
      </c>
      <c r="D36" s="3">
        <v>20000</v>
      </c>
      <c r="E36" s="3">
        <v>20450</v>
      </c>
      <c r="F36" s="3">
        <v>20497</v>
      </c>
      <c r="G36" s="3">
        <v>20555</v>
      </c>
      <c r="H36" s="3">
        <v>20577</v>
      </c>
      <c r="I36" s="3">
        <v>20646</v>
      </c>
      <c r="J36" s="3">
        <v>20650</v>
      </c>
      <c r="K36" s="3">
        <v>20700</v>
      </c>
      <c r="L36" s="3">
        <v>20750</v>
      </c>
      <c r="M36" s="2">
        <f t="shared" ref="M36:M44" si="4">MEDIAN(C36:L36)</f>
        <v>20566</v>
      </c>
    </row>
    <row r="37" spans="1:13" x14ac:dyDescent="0.2">
      <c r="A37" s="4" t="s">
        <v>35</v>
      </c>
      <c r="B37" s="4" t="s">
        <v>4</v>
      </c>
      <c r="C37" s="3">
        <v>15250</v>
      </c>
      <c r="D37" s="3">
        <v>15447</v>
      </c>
      <c r="E37" s="3">
        <v>15449</v>
      </c>
      <c r="F37" s="3">
        <v>15949</v>
      </c>
      <c r="G37" s="3">
        <v>15950</v>
      </c>
      <c r="H37" s="3">
        <v>15950</v>
      </c>
      <c r="I37" s="3">
        <v>15987</v>
      </c>
      <c r="J37" s="3">
        <v>15997</v>
      </c>
      <c r="K37" s="3">
        <v>16038</v>
      </c>
      <c r="L37" s="3">
        <v>16074</v>
      </c>
      <c r="M37" s="2">
        <f t="shared" si="4"/>
        <v>15950</v>
      </c>
    </row>
    <row r="38" spans="1:13" x14ac:dyDescent="0.2">
      <c r="A38" s="4" t="s">
        <v>35</v>
      </c>
      <c r="B38" s="4" t="s">
        <v>5</v>
      </c>
      <c r="C38" s="3">
        <v>6250</v>
      </c>
      <c r="D38" s="3">
        <v>6616</v>
      </c>
      <c r="E38" s="3">
        <v>6889</v>
      </c>
      <c r="F38" s="3">
        <v>6935</v>
      </c>
      <c r="G38" s="3">
        <v>6939</v>
      </c>
      <c r="H38" s="3">
        <v>6948</v>
      </c>
      <c r="I38" s="3">
        <v>6995</v>
      </c>
      <c r="J38" s="3">
        <v>7000</v>
      </c>
      <c r="K38" s="3">
        <v>7003</v>
      </c>
      <c r="L38" s="3">
        <v>70302</v>
      </c>
      <c r="M38" s="2">
        <f t="shared" si="4"/>
        <v>6943.5</v>
      </c>
    </row>
    <row r="39" spans="1:13" x14ac:dyDescent="0.2">
      <c r="A39" s="4" t="s">
        <v>35</v>
      </c>
      <c r="B39" s="4" t="s">
        <v>6</v>
      </c>
      <c r="C39" s="3">
        <v>29451</v>
      </c>
      <c r="D39" s="3">
        <v>29678</v>
      </c>
      <c r="E39" s="3">
        <v>29950</v>
      </c>
      <c r="F39" s="3">
        <v>30407</v>
      </c>
      <c r="G39" s="3">
        <v>30500</v>
      </c>
      <c r="H39" s="3">
        <v>30560</v>
      </c>
      <c r="I39" s="3">
        <v>30595</v>
      </c>
      <c r="J39" s="3">
        <v>30959</v>
      </c>
      <c r="K39" s="3">
        <v>30959</v>
      </c>
      <c r="L39" s="3">
        <v>31210</v>
      </c>
      <c r="M39" s="2">
        <f t="shared" si="4"/>
        <v>30530</v>
      </c>
    </row>
    <row r="40" spans="1:13" x14ac:dyDescent="0.2">
      <c r="A40" s="4" t="s">
        <v>35</v>
      </c>
      <c r="B40" s="4" t="s">
        <v>7</v>
      </c>
      <c r="C40" s="3">
        <v>75341</v>
      </c>
      <c r="D40" s="3">
        <v>79950</v>
      </c>
      <c r="E40" s="3">
        <v>84950</v>
      </c>
      <c r="F40" s="3">
        <v>87997</v>
      </c>
      <c r="G40" s="3">
        <v>88000</v>
      </c>
      <c r="H40" s="3">
        <v>89997</v>
      </c>
      <c r="I40" s="3">
        <v>92561</v>
      </c>
      <c r="J40" s="3">
        <v>92573</v>
      </c>
      <c r="K40" s="3">
        <v>92944</v>
      </c>
      <c r="L40" s="3">
        <v>93214</v>
      </c>
      <c r="M40" s="2">
        <f t="shared" si="4"/>
        <v>88998.5</v>
      </c>
    </row>
    <row r="41" spans="1:13" x14ac:dyDescent="0.2">
      <c r="A41" s="4" t="s">
        <v>35</v>
      </c>
      <c r="B41" s="4" t="s">
        <v>8</v>
      </c>
      <c r="C41" s="3">
        <v>50450</v>
      </c>
      <c r="D41" s="3">
        <v>52200</v>
      </c>
      <c r="E41" s="3">
        <v>52247</v>
      </c>
      <c r="F41" s="3">
        <v>52362</v>
      </c>
      <c r="G41" s="3">
        <v>52783</v>
      </c>
      <c r="H41" s="3">
        <v>54000</v>
      </c>
      <c r="I41" s="3">
        <v>54221</v>
      </c>
      <c r="J41" s="3">
        <v>54561</v>
      </c>
      <c r="K41" s="3">
        <v>54886</v>
      </c>
      <c r="L41" s="3">
        <v>54950</v>
      </c>
      <c r="M41" s="2">
        <f t="shared" si="4"/>
        <v>53391.5</v>
      </c>
    </row>
    <row r="42" spans="1:13" x14ac:dyDescent="0.2">
      <c r="A42" s="4" t="s">
        <v>35</v>
      </c>
      <c r="B42" s="4" t="s">
        <v>9</v>
      </c>
      <c r="C42" s="3">
        <v>4330</v>
      </c>
      <c r="D42" s="3">
        <v>4434</v>
      </c>
      <c r="E42" s="3">
        <v>4709</v>
      </c>
      <c r="F42" s="3">
        <v>4714</v>
      </c>
      <c r="G42" s="3">
        <v>4817</v>
      </c>
      <c r="H42" s="3">
        <v>4884</v>
      </c>
      <c r="I42" s="3">
        <v>4911</v>
      </c>
      <c r="J42" s="3">
        <v>4911</v>
      </c>
      <c r="K42" s="3">
        <v>5046</v>
      </c>
      <c r="L42" s="3">
        <v>5046</v>
      </c>
      <c r="M42" s="2">
        <f t="shared" si="4"/>
        <v>4850.5</v>
      </c>
    </row>
    <row r="43" spans="1:13" x14ac:dyDescent="0.2">
      <c r="A43" s="4" t="s">
        <v>35</v>
      </c>
      <c r="B43" s="4" t="s">
        <v>10</v>
      </c>
      <c r="C43" s="3">
        <v>5737</v>
      </c>
      <c r="D43" s="3">
        <v>5917</v>
      </c>
      <c r="E43" s="3">
        <v>5929</v>
      </c>
      <c r="F43" s="3">
        <v>5967</v>
      </c>
      <c r="G43" s="3">
        <v>6273</v>
      </c>
      <c r="H43" s="3">
        <v>6311</v>
      </c>
      <c r="I43" s="3">
        <v>6319</v>
      </c>
      <c r="J43" s="3">
        <v>6345</v>
      </c>
      <c r="K43" s="3">
        <v>6426</v>
      </c>
      <c r="L43" s="3">
        <v>6464</v>
      </c>
      <c r="M43" s="2">
        <f t="shared" si="4"/>
        <v>6292</v>
      </c>
    </row>
    <row r="44" spans="1:13" x14ac:dyDescent="0.2">
      <c r="A44" s="4" t="s">
        <v>35</v>
      </c>
      <c r="B44" s="4" t="s">
        <v>11</v>
      </c>
      <c r="C44" s="3">
        <v>30000</v>
      </c>
      <c r="D44" s="3">
        <v>30959</v>
      </c>
      <c r="E44" s="3">
        <v>31706</v>
      </c>
      <c r="F44" s="3">
        <v>33617</v>
      </c>
      <c r="G44" s="3">
        <v>33734</v>
      </c>
      <c r="H44" s="3">
        <v>33750</v>
      </c>
      <c r="I44" s="3">
        <v>33999</v>
      </c>
      <c r="J44" s="3">
        <v>34171</v>
      </c>
      <c r="K44" s="3">
        <v>34953</v>
      </c>
      <c r="L44" s="3">
        <v>35181</v>
      </c>
      <c r="M44" s="2">
        <f t="shared" si="4"/>
        <v>33742</v>
      </c>
    </row>
    <row r="45" spans="1:13" x14ac:dyDescent="0.2">
      <c r="A45" s="4"/>
      <c r="B45" s="4"/>
      <c r="C45" s="3"/>
      <c r="D45" s="3"/>
      <c r="E45" s="3"/>
      <c r="F45" s="3"/>
      <c r="G45" s="3"/>
      <c r="H45" s="3"/>
      <c r="I45" s="3"/>
      <c r="J45" s="3"/>
      <c r="K45" s="3"/>
      <c r="L45" s="3"/>
      <c r="M45" s="2"/>
    </row>
    <row r="46" spans="1:13" x14ac:dyDescent="0.2">
      <c r="A46" s="4" t="s">
        <v>36</v>
      </c>
      <c r="B46" s="4" t="s">
        <v>2</v>
      </c>
      <c r="C46" s="3">
        <v>9800</v>
      </c>
      <c r="D46" s="3">
        <v>10000</v>
      </c>
      <c r="E46" s="3">
        <v>10043</v>
      </c>
      <c r="F46" s="3">
        <v>10146</v>
      </c>
      <c r="G46" s="3">
        <v>10250</v>
      </c>
      <c r="H46" s="3">
        <v>10614</v>
      </c>
      <c r="I46" s="3">
        <v>10750</v>
      </c>
      <c r="J46" s="3">
        <v>10755</v>
      </c>
      <c r="K46" s="3">
        <v>10764</v>
      </c>
      <c r="L46" s="3">
        <v>10789</v>
      </c>
      <c r="M46" s="2">
        <f>MEDIAN(C46:L46)</f>
        <v>10432</v>
      </c>
    </row>
    <row r="47" spans="1:13" x14ac:dyDescent="0.2">
      <c r="A47" s="4" t="s">
        <v>36</v>
      </c>
      <c r="B47" s="4" t="s">
        <v>3</v>
      </c>
      <c r="C47" s="3">
        <v>19449</v>
      </c>
      <c r="D47" s="3">
        <v>19524</v>
      </c>
      <c r="E47" s="3">
        <v>20000</v>
      </c>
      <c r="F47" s="3">
        <v>20445</v>
      </c>
      <c r="G47" s="3">
        <v>20450</v>
      </c>
      <c r="H47" s="3">
        <v>20497</v>
      </c>
      <c r="I47" s="3">
        <v>20514</v>
      </c>
      <c r="J47" s="3">
        <v>20700</v>
      </c>
      <c r="K47" s="3">
        <v>20750</v>
      </c>
      <c r="L47" s="3">
        <v>20890</v>
      </c>
      <c r="M47" s="2">
        <f t="shared" ref="M47:M55" si="5">MEDIAN(C47:L47)</f>
        <v>20473.5</v>
      </c>
    </row>
    <row r="48" spans="1:13" x14ac:dyDescent="0.2">
      <c r="A48" s="4" t="s">
        <v>36</v>
      </c>
      <c r="B48" s="4" t="s">
        <v>4</v>
      </c>
      <c r="C48" s="3">
        <v>14995</v>
      </c>
      <c r="D48" s="3">
        <v>14995</v>
      </c>
      <c r="E48" s="3">
        <v>15250</v>
      </c>
      <c r="F48" s="3">
        <v>15447</v>
      </c>
      <c r="G48" s="3">
        <v>15450</v>
      </c>
      <c r="H48" s="3">
        <v>15500</v>
      </c>
      <c r="I48" s="3">
        <v>15500</v>
      </c>
      <c r="J48" s="3">
        <v>15847</v>
      </c>
      <c r="K48" s="3">
        <v>15885</v>
      </c>
      <c r="L48" s="3">
        <v>15950</v>
      </c>
      <c r="M48" s="2">
        <f t="shared" si="5"/>
        <v>15475</v>
      </c>
    </row>
    <row r="49" spans="1:13" x14ac:dyDescent="0.2">
      <c r="A49" s="4" t="s">
        <v>36</v>
      </c>
      <c r="B49" s="4" t="s">
        <v>5</v>
      </c>
      <c r="C49" s="3">
        <v>6250</v>
      </c>
      <c r="D49" s="3">
        <v>6500</v>
      </c>
      <c r="E49" s="3">
        <v>6878</v>
      </c>
      <c r="F49" s="3">
        <v>6891</v>
      </c>
      <c r="G49" s="3">
        <v>6897</v>
      </c>
      <c r="H49" s="3">
        <v>6954</v>
      </c>
      <c r="I49" s="3">
        <v>6985</v>
      </c>
      <c r="J49" s="3">
        <v>6986</v>
      </c>
      <c r="K49" s="3">
        <v>6987</v>
      </c>
      <c r="L49" s="3">
        <v>6995</v>
      </c>
      <c r="M49" s="2">
        <f t="shared" si="5"/>
        <v>6925.5</v>
      </c>
    </row>
    <row r="50" spans="1:13" x14ac:dyDescent="0.2">
      <c r="A50" s="4" t="s">
        <v>36</v>
      </c>
      <c r="B50" s="4" t="s">
        <v>6</v>
      </c>
      <c r="C50" s="3">
        <v>29498</v>
      </c>
      <c r="D50" s="3">
        <v>29950</v>
      </c>
      <c r="E50" s="3">
        <v>30023</v>
      </c>
      <c r="F50" s="3">
        <v>30212</v>
      </c>
      <c r="G50" s="3">
        <v>30365</v>
      </c>
      <c r="H50" s="3">
        <v>30339</v>
      </c>
      <c r="I50" s="3">
        <v>30500</v>
      </c>
      <c r="J50" s="3">
        <v>30771</v>
      </c>
      <c r="K50" s="3">
        <v>30771</v>
      </c>
      <c r="L50" s="3">
        <v>31163</v>
      </c>
      <c r="M50" s="2">
        <f t="shared" si="5"/>
        <v>30352</v>
      </c>
    </row>
    <row r="51" spans="1:13" x14ac:dyDescent="0.2">
      <c r="A51" s="4" t="s">
        <v>36</v>
      </c>
      <c r="B51" s="4" t="s">
        <v>7</v>
      </c>
      <c r="C51" s="3">
        <v>79950</v>
      </c>
      <c r="D51" s="3">
        <v>84950</v>
      </c>
      <c r="E51" s="3">
        <v>87997</v>
      </c>
      <c r="F51" s="3">
        <v>90000</v>
      </c>
      <c r="G51" s="3">
        <v>92340</v>
      </c>
      <c r="H51" s="3">
        <v>92348</v>
      </c>
      <c r="I51" s="3">
        <v>92573</v>
      </c>
      <c r="J51" s="3">
        <v>94581</v>
      </c>
      <c r="K51" s="3">
        <v>95007</v>
      </c>
      <c r="L51" s="3">
        <v>95008</v>
      </c>
      <c r="M51" s="2">
        <f t="shared" si="5"/>
        <v>92344</v>
      </c>
    </row>
    <row r="52" spans="1:13" x14ac:dyDescent="0.2">
      <c r="A52" s="4" t="s">
        <v>36</v>
      </c>
      <c r="B52" s="4" t="s">
        <v>8</v>
      </c>
      <c r="C52" s="3">
        <v>52200</v>
      </c>
      <c r="D52" s="3">
        <v>52444</v>
      </c>
      <c r="E52" s="3">
        <v>53873</v>
      </c>
      <c r="F52" s="3">
        <v>54000</v>
      </c>
      <c r="G52" s="3">
        <v>54176</v>
      </c>
      <c r="H52" s="3">
        <v>54535</v>
      </c>
      <c r="I52" s="3">
        <v>54950</v>
      </c>
      <c r="J52" s="3">
        <v>55470</v>
      </c>
      <c r="K52" s="3">
        <v>55504</v>
      </c>
      <c r="L52" s="3">
        <v>56128</v>
      </c>
      <c r="M52" s="2">
        <f t="shared" si="5"/>
        <v>54355.5</v>
      </c>
    </row>
    <row r="53" spans="1:13" x14ac:dyDescent="0.2">
      <c r="A53" s="4" t="s">
        <v>36</v>
      </c>
      <c r="B53" s="4" t="s">
        <v>9</v>
      </c>
      <c r="C53" s="3">
        <v>4281</v>
      </c>
      <c r="D53" s="3">
        <v>4661</v>
      </c>
      <c r="E53" s="3">
        <v>4783</v>
      </c>
      <c r="F53" s="3">
        <v>4989</v>
      </c>
      <c r="G53" s="3">
        <v>4989</v>
      </c>
      <c r="H53" s="3">
        <v>4989</v>
      </c>
      <c r="I53" s="3">
        <v>5033</v>
      </c>
      <c r="J53" s="3">
        <v>5049</v>
      </c>
      <c r="K53" s="3">
        <v>5059</v>
      </c>
      <c r="L53" s="3">
        <v>5165</v>
      </c>
      <c r="M53" s="2">
        <f t="shared" si="5"/>
        <v>4989</v>
      </c>
    </row>
    <row r="54" spans="1:13" x14ac:dyDescent="0.2">
      <c r="A54" s="4" t="s">
        <v>36</v>
      </c>
      <c r="B54" s="4" t="s">
        <v>10</v>
      </c>
      <c r="C54" s="3">
        <v>5700</v>
      </c>
      <c r="D54" s="3">
        <v>5879</v>
      </c>
      <c r="E54" s="3">
        <v>5891</v>
      </c>
      <c r="F54" s="3">
        <v>5929</v>
      </c>
      <c r="G54" s="3">
        <v>6233</v>
      </c>
      <c r="H54" s="3">
        <v>6305</v>
      </c>
      <c r="I54" s="3">
        <v>6385</v>
      </c>
      <c r="J54" s="3">
        <v>6423</v>
      </c>
      <c r="K54" s="3">
        <v>6461</v>
      </c>
      <c r="L54" s="3">
        <v>6497</v>
      </c>
      <c r="M54" s="2">
        <f t="shared" si="5"/>
        <v>6269</v>
      </c>
    </row>
    <row r="55" spans="1:13" x14ac:dyDescent="0.2">
      <c r="A55" s="4" t="s">
        <v>36</v>
      </c>
      <c r="B55" s="4" t="s">
        <v>11</v>
      </c>
      <c r="C55" s="3">
        <v>30000</v>
      </c>
      <c r="D55" s="3">
        <v>30771</v>
      </c>
      <c r="E55" s="3">
        <v>31514</v>
      </c>
      <c r="F55" s="3">
        <v>33302</v>
      </c>
      <c r="G55" s="3">
        <v>33530</v>
      </c>
      <c r="H55" s="3">
        <v>33750</v>
      </c>
      <c r="I55" s="3">
        <v>33781</v>
      </c>
      <c r="J55" s="3">
        <v>33952</v>
      </c>
      <c r="K55" s="3">
        <v>34625</v>
      </c>
      <c r="L55" s="3">
        <v>35015</v>
      </c>
      <c r="M55" s="2">
        <f t="shared" si="5"/>
        <v>33640</v>
      </c>
    </row>
    <row r="56" spans="1:13" x14ac:dyDescent="0.2">
      <c r="A56" s="4"/>
      <c r="B56" s="4"/>
      <c r="C56" s="3"/>
      <c r="D56" s="3"/>
      <c r="E56" s="3"/>
      <c r="F56" s="3"/>
      <c r="G56" s="3"/>
      <c r="H56" s="3"/>
      <c r="I56" s="3"/>
      <c r="J56" s="3"/>
      <c r="K56" s="3"/>
      <c r="L56" s="3"/>
      <c r="M56" s="2"/>
    </row>
    <row r="57" spans="1:13" x14ac:dyDescent="0.2">
      <c r="A57" s="4" t="s">
        <v>38</v>
      </c>
      <c r="B57" s="4" t="s">
        <v>2</v>
      </c>
      <c r="C57" s="3">
        <v>10250</v>
      </c>
      <c r="D57" s="3">
        <v>10497</v>
      </c>
      <c r="E57" s="3">
        <v>10795</v>
      </c>
      <c r="F57" s="3">
        <v>10850</v>
      </c>
      <c r="G57" s="3">
        <v>10950</v>
      </c>
      <c r="H57" s="3">
        <v>10995</v>
      </c>
      <c r="I57" s="3">
        <v>10997</v>
      </c>
      <c r="J57" s="3">
        <v>11083</v>
      </c>
      <c r="K57" s="3">
        <v>11087</v>
      </c>
      <c r="L57" s="3">
        <v>11125</v>
      </c>
      <c r="M57" s="2">
        <f>MEDIAN(C57:L57)</f>
        <v>10972.5</v>
      </c>
    </row>
    <row r="58" spans="1:13" x14ac:dyDescent="0.2">
      <c r="A58" s="4" t="s">
        <v>38</v>
      </c>
      <c r="B58" s="4" t="s">
        <v>3</v>
      </c>
      <c r="C58" s="3">
        <v>20000</v>
      </c>
      <c r="D58" s="3">
        <v>20750</v>
      </c>
      <c r="E58" s="3">
        <v>20783</v>
      </c>
      <c r="F58" s="3">
        <v>20797</v>
      </c>
      <c r="G58" s="3">
        <v>20885</v>
      </c>
      <c r="H58" s="3">
        <v>20950</v>
      </c>
      <c r="I58" s="3">
        <v>20950</v>
      </c>
      <c r="J58" s="3">
        <v>20995</v>
      </c>
      <c r="K58" s="3">
        <v>20997</v>
      </c>
      <c r="L58" s="3">
        <v>21000</v>
      </c>
      <c r="M58" s="2">
        <f t="shared" ref="M58:M66" si="6">MEDIAN(C58:L58)</f>
        <v>20917.5</v>
      </c>
    </row>
    <row r="59" spans="1:13" x14ac:dyDescent="0.2">
      <c r="A59" s="4" t="s">
        <v>38</v>
      </c>
      <c r="B59" s="4" t="s">
        <v>4</v>
      </c>
      <c r="C59" s="3">
        <v>17995</v>
      </c>
      <c r="D59" s="3">
        <v>17995</v>
      </c>
      <c r="E59" s="3">
        <v>18500</v>
      </c>
      <c r="F59" s="3">
        <v>18500</v>
      </c>
      <c r="G59" s="3">
        <v>18500</v>
      </c>
      <c r="H59" s="3">
        <v>18543</v>
      </c>
      <c r="I59" s="3">
        <v>18620</v>
      </c>
      <c r="J59" s="3">
        <v>18886</v>
      </c>
      <c r="K59" s="3">
        <v>18995</v>
      </c>
      <c r="L59" s="3">
        <v>19143</v>
      </c>
      <c r="M59" s="2">
        <f t="shared" si="6"/>
        <v>18521.5</v>
      </c>
    </row>
    <row r="60" spans="1:13" x14ac:dyDescent="0.2">
      <c r="A60" s="4" t="s">
        <v>38</v>
      </c>
      <c r="B60" s="4" t="s">
        <v>5</v>
      </c>
      <c r="C60" s="3">
        <v>6445</v>
      </c>
      <c r="D60" s="3">
        <v>6464</v>
      </c>
      <c r="E60" s="3">
        <v>6850</v>
      </c>
      <c r="F60" s="3">
        <v>7014</v>
      </c>
      <c r="G60" s="3">
        <v>7032</v>
      </c>
      <c r="H60" s="3">
        <v>7049</v>
      </c>
      <c r="I60" s="3">
        <v>7069</v>
      </c>
      <c r="J60" s="3">
        <v>7084</v>
      </c>
      <c r="K60" s="3">
        <v>7092</v>
      </c>
      <c r="L60" s="3">
        <v>7099</v>
      </c>
      <c r="M60" s="2">
        <f t="shared" si="6"/>
        <v>7040.5</v>
      </c>
    </row>
    <row r="61" spans="1:13" x14ac:dyDescent="0.2">
      <c r="A61" s="4" t="s">
        <v>38</v>
      </c>
      <c r="B61" s="4" t="s">
        <v>6</v>
      </c>
      <c r="C61" s="3">
        <v>29850</v>
      </c>
      <c r="D61" s="3">
        <v>29950</v>
      </c>
      <c r="E61" s="3">
        <v>29996</v>
      </c>
      <c r="F61" s="3">
        <v>30901</v>
      </c>
      <c r="G61" s="3">
        <v>31033</v>
      </c>
      <c r="H61" s="3">
        <v>31677</v>
      </c>
      <c r="I61" s="3">
        <v>31750</v>
      </c>
      <c r="J61" s="3">
        <v>31831</v>
      </c>
      <c r="K61" s="3">
        <v>32102</v>
      </c>
      <c r="L61" s="3">
        <v>32334</v>
      </c>
      <c r="M61" s="2">
        <f t="shared" si="6"/>
        <v>31355</v>
      </c>
    </row>
    <row r="62" spans="1:13" x14ac:dyDescent="0.2">
      <c r="A62" s="4" t="s">
        <v>38</v>
      </c>
      <c r="B62" s="4" t="s">
        <v>7</v>
      </c>
      <c r="C62" s="3">
        <v>81958</v>
      </c>
      <c r="D62" s="3">
        <v>86251</v>
      </c>
      <c r="E62" s="3">
        <v>88568</v>
      </c>
      <c r="F62" s="3">
        <v>88665</v>
      </c>
      <c r="G62" s="3">
        <v>92573</v>
      </c>
      <c r="H62" s="3">
        <v>92675</v>
      </c>
      <c r="I62" s="3">
        <v>93873</v>
      </c>
      <c r="J62" s="3">
        <v>94950</v>
      </c>
      <c r="K62" s="3">
        <v>95000</v>
      </c>
      <c r="L62" s="3">
        <v>96576</v>
      </c>
      <c r="M62" s="2">
        <f t="shared" si="6"/>
        <v>92624</v>
      </c>
    </row>
    <row r="63" spans="1:13" x14ac:dyDescent="0.2">
      <c r="A63" s="4" t="s">
        <v>38</v>
      </c>
      <c r="B63" s="4" t="s">
        <v>8</v>
      </c>
      <c r="C63" s="3">
        <v>52200</v>
      </c>
      <c r="D63" s="3">
        <v>53450</v>
      </c>
      <c r="E63" s="3">
        <v>54000</v>
      </c>
      <c r="F63" s="3">
        <v>54950</v>
      </c>
      <c r="G63" s="3">
        <v>56133</v>
      </c>
      <c r="H63" s="3">
        <v>56386</v>
      </c>
      <c r="I63" s="3">
        <v>57544</v>
      </c>
      <c r="J63" s="3">
        <v>57560</v>
      </c>
      <c r="K63" s="3">
        <v>58309</v>
      </c>
      <c r="L63" s="3">
        <v>54342</v>
      </c>
      <c r="M63" s="2">
        <f t="shared" si="6"/>
        <v>55541.5</v>
      </c>
    </row>
    <row r="64" spans="1:13" x14ac:dyDescent="0.2">
      <c r="A64" s="4" t="s">
        <v>38</v>
      </c>
      <c r="B64" s="4" t="s">
        <v>9</v>
      </c>
      <c r="C64" s="3">
        <v>4397</v>
      </c>
      <c r="D64" s="3">
        <v>4510</v>
      </c>
      <c r="E64" s="3">
        <v>4655</v>
      </c>
      <c r="F64" s="3">
        <v>4904</v>
      </c>
      <c r="G64" s="3">
        <v>4904</v>
      </c>
      <c r="H64" s="3">
        <v>4922</v>
      </c>
      <c r="I64" s="3">
        <v>5043</v>
      </c>
      <c r="J64" s="3">
        <v>5083</v>
      </c>
      <c r="K64" s="3">
        <v>5202</v>
      </c>
      <c r="L64" s="3">
        <v>5231</v>
      </c>
      <c r="M64" s="2">
        <f t="shared" si="6"/>
        <v>4913</v>
      </c>
    </row>
    <row r="65" spans="1:13" x14ac:dyDescent="0.2">
      <c r="A65" s="4" t="s">
        <v>38</v>
      </c>
      <c r="B65" s="4" t="s">
        <v>10</v>
      </c>
      <c r="C65" s="3">
        <v>5795</v>
      </c>
      <c r="D65" s="3">
        <v>5976</v>
      </c>
      <c r="E65" s="3">
        <v>6026</v>
      </c>
      <c r="F65" s="3">
        <v>6220</v>
      </c>
      <c r="G65" s="3">
        <v>6405</v>
      </c>
      <c r="H65" s="3">
        <v>6409</v>
      </c>
      <c r="I65" s="3">
        <v>6490</v>
      </c>
      <c r="J65" s="3">
        <v>6529</v>
      </c>
      <c r="K65" s="3">
        <v>6561</v>
      </c>
      <c r="L65" s="3">
        <v>6567</v>
      </c>
      <c r="M65" s="2">
        <f t="shared" si="6"/>
        <v>6407</v>
      </c>
    </row>
    <row r="66" spans="1:13" x14ac:dyDescent="0.2">
      <c r="A66" s="4" t="s">
        <v>38</v>
      </c>
      <c r="B66" s="4" t="s">
        <v>11</v>
      </c>
      <c r="C66" s="3">
        <v>32047</v>
      </c>
      <c r="D66" s="3">
        <v>34000</v>
      </c>
      <c r="E66" s="3">
        <v>34096</v>
      </c>
      <c r="F66" s="3">
        <v>34253</v>
      </c>
      <c r="G66" s="3">
        <v>34381</v>
      </c>
      <c r="H66" s="3">
        <v>34420</v>
      </c>
      <c r="I66" s="3">
        <v>35154</v>
      </c>
      <c r="J66" s="3">
        <v>35607</v>
      </c>
      <c r="K66" s="3">
        <v>36254</v>
      </c>
      <c r="L66" s="3">
        <v>36676</v>
      </c>
      <c r="M66" s="2">
        <f t="shared" si="6"/>
        <v>34400.5</v>
      </c>
    </row>
    <row r="67" spans="1:13" x14ac:dyDescent="0.2">
      <c r="A67" s="4"/>
      <c r="B67" s="4"/>
      <c r="C67" s="3"/>
      <c r="D67" s="3"/>
      <c r="E67" s="3"/>
      <c r="F67" s="3"/>
      <c r="G67" s="3"/>
      <c r="H67" s="3"/>
      <c r="I67" s="3"/>
      <c r="J67" s="3"/>
      <c r="K67" s="3"/>
      <c r="L67" s="3"/>
      <c r="M67" s="2"/>
    </row>
    <row r="68" spans="1:13" x14ac:dyDescent="0.2">
      <c r="A68" s="4" t="s">
        <v>156</v>
      </c>
      <c r="B68" s="4" t="s">
        <v>2</v>
      </c>
      <c r="C68" s="3">
        <v>10250</v>
      </c>
      <c r="D68" s="3">
        <v>10497</v>
      </c>
      <c r="E68" s="3">
        <v>10515</v>
      </c>
      <c r="F68" s="3">
        <v>10795</v>
      </c>
      <c r="G68" s="3">
        <v>10800</v>
      </c>
      <c r="H68" s="3">
        <v>10850</v>
      </c>
      <c r="I68" s="3">
        <v>10907</v>
      </c>
      <c r="J68" s="3">
        <v>10950</v>
      </c>
      <c r="K68" s="3">
        <v>10950</v>
      </c>
      <c r="L68" s="3">
        <v>10989</v>
      </c>
      <c r="M68" s="2">
        <f>MEDIAN(C68:L68)</f>
        <v>10825</v>
      </c>
    </row>
    <row r="69" spans="1:13" x14ac:dyDescent="0.2">
      <c r="A69" s="4" t="s">
        <v>156</v>
      </c>
      <c r="B69" s="4" t="s">
        <v>3</v>
      </c>
      <c r="C69" s="3">
        <v>20672</v>
      </c>
      <c r="D69" s="3">
        <v>20694</v>
      </c>
      <c r="E69" s="3">
        <v>20720</v>
      </c>
      <c r="F69" s="3">
        <v>20750</v>
      </c>
      <c r="G69" s="3">
        <v>20950</v>
      </c>
      <c r="H69" s="3">
        <v>20950</v>
      </c>
      <c r="I69" s="3">
        <v>20995</v>
      </c>
      <c r="J69" s="3">
        <v>21000</v>
      </c>
      <c r="K69" s="3">
        <v>21000</v>
      </c>
      <c r="L69" s="3">
        <v>21000</v>
      </c>
      <c r="M69" s="2">
        <f t="shared" ref="M69:M77" si="7">MEDIAN(C69:L69)</f>
        <v>20950</v>
      </c>
    </row>
    <row r="70" spans="1:13" x14ac:dyDescent="0.2">
      <c r="A70" s="4" t="s">
        <v>156</v>
      </c>
      <c r="B70" s="4" t="s">
        <v>4</v>
      </c>
      <c r="C70" s="3">
        <v>17500</v>
      </c>
      <c r="D70" s="3">
        <v>17800</v>
      </c>
      <c r="E70" s="3">
        <v>17995</v>
      </c>
      <c r="F70" s="3">
        <v>17995</v>
      </c>
      <c r="G70" s="3">
        <v>17995</v>
      </c>
      <c r="H70" s="3">
        <v>18500</v>
      </c>
      <c r="I70" s="3">
        <v>18624</v>
      </c>
      <c r="J70" s="3">
        <v>18995</v>
      </c>
      <c r="K70" s="3">
        <v>19136</v>
      </c>
      <c r="L70" s="3">
        <v>19212</v>
      </c>
      <c r="M70" s="2">
        <f t="shared" si="7"/>
        <v>18247.5</v>
      </c>
    </row>
    <row r="71" spans="1:13" x14ac:dyDescent="0.2">
      <c r="A71" s="4" t="s">
        <v>156</v>
      </c>
      <c r="B71" s="4" t="s">
        <v>5</v>
      </c>
      <c r="C71" s="3">
        <v>6465</v>
      </c>
      <c r="D71" s="3">
        <v>6971</v>
      </c>
      <c r="E71" s="3">
        <v>6981</v>
      </c>
      <c r="F71" s="3">
        <v>6997</v>
      </c>
      <c r="G71" s="3">
        <v>7012</v>
      </c>
      <c r="H71" s="3">
        <v>7031</v>
      </c>
      <c r="I71" s="3">
        <v>7085</v>
      </c>
      <c r="J71" s="3">
        <v>7093</v>
      </c>
      <c r="K71" s="3">
        <v>7099</v>
      </c>
      <c r="L71" s="3">
        <v>7143</v>
      </c>
      <c r="M71" s="2">
        <f t="shared" si="7"/>
        <v>7021.5</v>
      </c>
    </row>
    <row r="72" spans="1:13" x14ac:dyDescent="0.2">
      <c r="A72" s="4" t="s">
        <v>156</v>
      </c>
      <c r="B72" s="4" t="s">
        <v>6</v>
      </c>
      <c r="C72" s="3">
        <v>29815</v>
      </c>
      <c r="D72" s="3">
        <v>29850</v>
      </c>
      <c r="E72" s="3">
        <v>29950</v>
      </c>
      <c r="F72" s="3">
        <v>30356</v>
      </c>
      <c r="G72" s="3">
        <v>31500</v>
      </c>
      <c r="H72" s="3">
        <v>31835</v>
      </c>
      <c r="I72" s="3">
        <v>31931</v>
      </c>
      <c r="J72" s="3">
        <v>32162</v>
      </c>
      <c r="K72" s="3">
        <v>32239</v>
      </c>
      <c r="L72" s="3">
        <v>32797</v>
      </c>
      <c r="M72" s="2">
        <f t="shared" si="7"/>
        <v>31667.5</v>
      </c>
    </row>
    <row r="73" spans="1:13" x14ac:dyDescent="0.2">
      <c r="A73" s="4" t="s">
        <v>156</v>
      </c>
      <c r="B73" s="4" t="s">
        <v>7</v>
      </c>
      <c r="C73" s="3">
        <v>81958</v>
      </c>
      <c r="D73" s="3">
        <v>88677</v>
      </c>
      <c r="E73" s="3">
        <v>89004</v>
      </c>
      <c r="F73" s="3">
        <v>91250</v>
      </c>
      <c r="G73" s="3">
        <v>92675</v>
      </c>
      <c r="H73" s="3">
        <v>93373</v>
      </c>
      <c r="I73" s="3">
        <v>94950</v>
      </c>
      <c r="J73" s="3">
        <v>95000</v>
      </c>
      <c r="K73" s="3">
        <v>96062</v>
      </c>
      <c r="L73" s="3">
        <v>96063</v>
      </c>
      <c r="M73" s="2">
        <f t="shared" si="7"/>
        <v>93024</v>
      </c>
    </row>
    <row r="74" spans="1:13" x14ac:dyDescent="0.2">
      <c r="A74" s="4" t="s">
        <v>156</v>
      </c>
      <c r="B74" s="4" t="s">
        <v>8</v>
      </c>
      <c r="C74" s="3">
        <v>52200</v>
      </c>
      <c r="D74" s="3">
        <v>53450</v>
      </c>
      <c r="E74" s="3">
        <v>54000</v>
      </c>
      <c r="F74" s="3">
        <v>54950</v>
      </c>
      <c r="G74" s="3">
        <v>56086</v>
      </c>
      <c r="H74" s="3">
        <v>56133</v>
      </c>
      <c r="I74" s="3">
        <v>57254</v>
      </c>
      <c r="J74" s="3">
        <v>57254</v>
      </c>
      <c r="K74" s="3">
        <v>57450</v>
      </c>
      <c r="L74" s="3">
        <v>58310</v>
      </c>
      <c r="M74" s="2">
        <f t="shared" si="7"/>
        <v>56109.5</v>
      </c>
    </row>
    <row r="75" spans="1:13" x14ac:dyDescent="0.2">
      <c r="A75" s="4" t="s">
        <v>156</v>
      </c>
      <c r="B75" s="4" t="s">
        <v>9</v>
      </c>
      <c r="C75" s="3">
        <v>4366</v>
      </c>
      <c r="D75" s="3">
        <v>4670</v>
      </c>
      <c r="E75" s="3">
        <v>4869</v>
      </c>
      <c r="F75" s="3">
        <v>4887</v>
      </c>
      <c r="G75" s="3">
        <v>5007</v>
      </c>
      <c r="H75" s="3">
        <v>5059</v>
      </c>
      <c r="I75" s="3">
        <v>5136</v>
      </c>
      <c r="J75" s="3">
        <v>5222</v>
      </c>
      <c r="K75" s="3">
        <v>5241</v>
      </c>
      <c r="L75" s="3">
        <v>5257</v>
      </c>
      <c r="M75" s="2">
        <f t="shared" si="7"/>
        <v>5033</v>
      </c>
    </row>
    <row r="76" spans="1:13" x14ac:dyDescent="0.2">
      <c r="A76" s="4" t="s">
        <v>156</v>
      </c>
      <c r="B76" s="4" t="s">
        <v>10</v>
      </c>
      <c r="C76" s="3">
        <v>5764</v>
      </c>
      <c r="D76" s="3">
        <v>5933</v>
      </c>
      <c r="E76" s="3">
        <v>5944</v>
      </c>
      <c r="F76" s="3">
        <v>5944</v>
      </c>
      <c r="G76" s="3">
        <v>6140</v>
      </c>
      <c r="H76" s="3">
        <v>6340</v>
      </c>
      <c r="I76" s="3">
        <v>6375</v>
      </c>
      <c r="J76" s="3">
        <v>6448</v>
      </c>
      <c r="K76" s="3">
        <v>6455</v>
      </c>
      <c r="L76" s="3">
        <v>6494</v>
      </c>
      <c r="M76" s="2">
        <f t="shared" si="7"/>
        <v>6240</v>
      </c>
    </row>
    <row r="77" spans="1:13" x14ac:dyDescent="0.2">
      <c r="A77" s="4" t="s">
        <v>156</v>
      </c>
      <c r="B77" s="4" t="s">
        <v>11</v>
      </c>
      <c r="C77" s="3">
        <v>31853</v>
      </c>
      <c r="D77" s="3">
        <v>33820</v>
      </c>
      <c r="E77" s="3">
        <v>33890</v>
      </c>
      <c r="F77" s="3">
        <v>34000</v>
      </c>
      <c r="G77" s="3">
        <v>34199</v>
      </c>
      <c r="H77" s="3">
        <v>34212</v>
      </c>
      <c r="I77" s="3">
        <v>34967</v>
      </c>
      <c r="J77" s="3">
        <v>35392</v>
      </c>
      <c r="K77" s="3">
        <v>36035</v>
      </c>
      <c r="L77" s="3">
        <v>36481</v>
      </c>
      <c r="M77" s="2">
        <f t="shared" si="7"/>
        <v>34205.5</v>
      </c>
    </row>
    <row r="78" spans="1:13" x14ac:dyDescent="0.2">
      <c r="A78" s="4"/>
      <c r="B78" s="4"/>
      <c r="C78" s="3"/>
      <c r="D78" s="3"/>
      <c r="E78" s="3"/>
      <c r="F78" s="3"/>
      <c r="G78" s="3"/>
      <c r="H78" s="3"/>
      <c r="I78" s="3"/>
      <c r="J78" s="3"/>
      <c r="K78" s="3"/>
      <c r="L78" s="3"/>
      <c r="M78" s="2"/>
    </row>
    <row r="79" spans="1:13" x14ac:dyDescent="0.2">
      <c r="A79" s="4" t="s">
        <v>157</v>
      </c>
      <c r="B79" s="4" t="s">
        <v>2</v>
      </c>
      <c r="C79" s="3">
        <v>10250</v>
      </c>
      <c r="D79" s="3">
        <v>10497</v>
      </c>
      <c r="E79" s="3">
        <v>10541</v>
      </c>
      <c r="F79" s="3">
        <v>10795</v>
      </c>
      <c r="G79" s="3">
        <v>10800</v>
      </c>
      <c r="H79" s="3">
        <v>10850</v>
      </c>
      <c r="I79" s="3">
        <v>10933</v>
      </c>
      <c r="J79" s="3">
        <v>10950</v>
      </c>
      <c r="K79" s="3">
        <v>10950</v>
      </c>
      <c r="L79" s="3">
        <v>10995</v>
      </c>
      <c r="M79" s="2">
        <f>MEDIAN(C79:L79)</f>
        <v>10825</v>
      </c>
    </row>
    <row r="80" spans="1:13" x14ac:dyDescent="0.2">
      <c r="A80" s="4" t="s">
        <v>157</v>
      </c>
      <c r="B80" s="4" t="s">
        <v>3</v>
      </c>
      <c r="C80" s="3">
        <v>20648</v>
      </c>
      <c r="D80" s="3">
        <v>20694</v>
      </c>
      <c r="E80" s="3">
        <v>20750</v>
      </c>
      <c r="F80" s="3">
        <v>20761</v>
      </c>
      <c r="G80" s="3">
        <v>20950</v>
      </c>
      <c r="H80" s="3">
        <v>20950</v>
      </c>
      <c r="I80" s="3">
        <v>20995</v>
      </c>
      <c r="J80" s="3">
        <v>21000</v>
      </c>
      <c r="K80" s="3">
        <v>21000</v>
      </c>
      <c r="L80" s="3">
        <v>21000</v>
      </c>
      <c r="M80" s="2">
        <f t="shared" ref="M80:M88" si="8">MEDIAN(C80:L80)</f>
        <v>20950</v>
      </c>
    </row>
    <row r="81" spans="1:13" x14ac:dyDescent="0.2">
      <c r="A81" s="4" t="s">
        <v>157</v>
      </c>
      <c r="B81" s="4" t="s">
        <v>4</v>
      </c>
      <c r="C81" s="3">
        <v>17995</v>
      </c>
      <c r="D81" s="3">
        <v>17995</v>
      </c>
      <c r="E81" s="3">
        <v>17995</v>
      </c>
      <c r="F81" s="3">
        <v>18500</v>
      </c>
      <c r="G81" s="3">
        <v>18624</v>
      </c>
      <c r="H81" s="3">
        <v>18995</v>
      </c>
      <c r="I81" s="3">
        <v>19218</v>
      </c>
      <c r="J81" s="3">
        <v>19250</v>
      </c>
      <c r="K81" s="3">
        <v>19294</v>
      </c>
      <c r="L81" s="3">
        <v>19488</v>
      </c>
      <c r="M81" s="2">
        <f t="shared" si="8"/>
        <v>18809.5</v>
      </c>
    </row>
    <row r="82" spans="1:13" x14ac:dyDescent="0.2">
      <c r="A82" s="4" t="s">
        <v>157</v>
      </c>
      <c r="B82" s="4" t="s">
        <v>5</v>
      </c>
      <c r="C82" s="3">
        <v>6480</v>
      </c>
      <c r="D82" s="3">
        <v>6981</v>
      </c>
      <c r="E82" s="3">
        <v>7013</v>
      </c>
      <c r="F82" s="3">
        <v>7018</v>
      </c>
      <c r="G82" s="3">
        <v>7042</v>
      </c>
      <c r="H82" s="3">
        <v>7061</v>
      </c>
      <c r="I82" s="3">
        <v>7099</v>
      </c>
      <c r="J82" s="3">
        <v>7102</v>
      </c>
      <c r="K82" s="3">
        <v>7110</v>
      </c>
      <c r="L82" s="3">
        <v>7174</v>
      </c>
      <c r="M82" s="2">
        <f t="shared" si="8"/>
        <v>7051.5</v>
      </c>
    </row>
    <row r="83" spans="1:13" x14ac:dyDescent="0.2">
      <c r="A83" s="4" t="s">
        <v>157</v>
      </c>
      <c r="B83" s="4" t="s">
        <v>6</v>
      </c>
      <c r="C83" s="3">
        <v>29850</v>
      </c>
      <c r="D83" s="3">
        <v>29950</v>
      </c>
      <c r="E83" s="3">
        <v>29996</v>
      </c>
      <c r="F83" s="3">
        <v>30486</v>
      </c>
      <c r="G83" s="3">
        <v>31500</v>
      </c>
      <c r="H83" s="3">
        <v>31911</v>
      </c>
      <c r="I83" s="3">
        <v>32068</v>
      </c>
      <c r="J83" s="3">
        <v>32300</v>
      </c>
      <c r="K83" s="3">
        <v>32377</v>
      </c>
      <c r="L83" s="3">
        <v>32994</v>
      </c>
      <c r="M83" s="2">
        <f t="shared" si="8"/>
        <v>31705.5</v>
      </c>
    </row>
    <row r="84" spans="1:13" x14ac:dyDescent="0.2">
      <c r="A84" s="4" t="s">
        <v>157</v>
      </c>
      <c r="B84" s="4" t="s">
        <v>7</v>
      </c>
      <c r="C84" s="3">
        <v>81958</v>
      </c>
      <c r="D84" s="3">
        <v>88887</v>
      </c>
      <c r="E84" s="3">
        <v>89004</v>
      </c>
      <c r="F84" s="3">
        <v>91446</v>
      </c>
      <c r="G84" s="3">
        <v>92675</v>
      </c>
      <c r="H84" s="3">
        <v>93436</v>
      </c>
      <c r="I84" s="3">
        <v>93773</v>
      </c>
      <c r="J84" s="3">
        <v>94950</v>
      </c>
      <c r="K84" s="3">
        <v>95000</v>
      </c>
      <c r="L84" s="3">
        <v>96474</v>
      </c>
      <c r="M84" s="2">
        <f t="shared" si="8"/>
        <v>93055.5</v>
      </c>
    </row>
    <row r="85" spans="1:13" x14ac:dyDescent="0.2">
      <c r="A85" s="4" t="s">
        <v>157</v>
      </c>
      <c r="B85" s="4" t="s">
        <v>8</v>
      </c>
      <c r="C85" s="3">
        <v>52200</v>
      </c>
      <c r="D85" s="3">
        <v>53450</v>
      </c>
      <c r="E85" s="3">
        <v>54000</v>
      </c>
      <c r="F85" s="3">
        <v>54950</v>
      </c>
      <c r="G85" s="3">
        <v>54999</v>
      </c>
      <c r="H85" s="3">
        <v>55250</v>
      </c>
      <c r="I85" s="3">
        <v>56133</v>
      </c>
      <c r="J85" s="3">
        <v>56326</v>
      </c>
      <c r="K85" s="3">
        <v>57450</v>
      </c>
      <c r="L85" s="3">
        <v>57499</v>
      </c>
      <c r="M85" s="2">
        <f t="shared" si="8"/>
        <v>55124.5</v>
      </c>
    </row>
    <row r="86" spans="1:13" x14ac:dyDescent="0.2">
      <c r="A86" s="4" t="s">
        <v>157</v>
      </c>
      <c r="B86" s="4" t="s">
        <v>9</v>
      </c>
      <c r="C86" s="3">
        <v>4665</v>
      </c>
      <c r="D86" s="3">
        <v>4682</v>
      </c>
      <c r="E86" s="3">
        <v>4881</v>
      </c>
      <c r="F86" s="3">
        <v>4881</v>
      </c>
      <c r="G86" s="3">
        <v>5020</v>
      </c>
      <c r="H86" s="3">
        <v>5074</v>
      </c>
      <c r="I86" s="3">
        <v>5133</v>
      </c>
      <c r="J86" s="3">
        <v>5238</v>
      </c>
      <c r="K86" s="3">
        <v>5244</v>
      </c>
      <c r="L86" s="3">
        <v>5296</v>
      </c>
      <c r="M86" s="2">
        <f t="shared" si="8"/>
        <v>5047</v>
      </c>
    </row>
    <row r="87" spans="1:13" x14ac:dyDescent="0.2">
      <c r="A87" s="4" t="s">
        <v>157</v>
      </c>
      <c r="B87" s="4" t="s">
        <v>10</v>
      </c>
      <c r="C87" s="3">
        <v>5788</v>
      </c>
      <c r="D87" s="3">
        <v>5947</v>
      </c>
      <c r="E87" s="3">
        <v>5970</v>
      </c>
      <c r="F87" s="3">
        <v>6020</v>
      </c>
      <c r="G87" s="3">
        <v>6167</v>
      </c>
      <c r="H87" s="3">
        <v>6367</v>
      </c>
      <c r="I87" s="3">
        <v>6402</v>
      </c>
      <c r="J87" s="3">
        <v>6475</v>
      </c>
      <c r="K87" s="3">
        <v>6483</v>
      </c>
      <c r="L87" s="3">
        <v>6522</v>
      </c>
      <c r="M87" s="2">
        <f t="shared" si="8"/>
        <v>6267</v>
      </c>
    </row>
    <row r="88" spans="1:13" x14ac:dyDescent="0.2">
      <c r="A88" s="4" t="s">
        <v>157</v>
      </c>
      <c r="B88" s="4" t="s">
        <v>11</v>
      </c>
      <c r="C88" s="3">
        <v>32046</v>
      </c>
      <c r="D88" s="3">
        <v>33800</v>
      </c>
      <c r="E88" s="3">
        <v>34000</v>
      </c>
      <c r="F88" s="3">
        <v>34097</v>
      </c>
      <c r="G88" s="3">
        <v>34345</v>
      </c>
      <c r="H88" s="3">
        <v>34420</v>
      </c>
      <c r="I88" s="3">
        <v>35117</v>
      </c>
      <c r="J88" s="3">
        <v>35607</v>
      </c>
      <c r="K88" s="3">
        <v>36254</v>
      </c>
      <c r="L88" s="3">
        <v>36637</v>
      </c>
      <c r="M88" s="2">
        <f t="shared" si="8"/>
        <v>34382.5</v>
      </c>
    </row>
    <row r="90" spans="1:13" x14ac:dyDescent="0.2">
      <c r="A90" s="4" t="s">
        <v>158</v>
      </c>
      <c r="B90" s="4" t="s">
        <v>2</v>
      </c>
      <c r="C90" s="3">
        <v>10250</v>
      </c>
      <c r="D90" s="3">
        <v>10497</v>
      </c>
      <c r="E90" s="3">
        <v>10619</v>
      </c>
      <c r="F90" s="3">
        <v>10650</v>
      </c>
      <c r="G90" s="3">
        <v>10795</v>
      </c>
      <c r="H90" s="3">
        <v>10800</v>
      </c>
      <c r="I90" s="3">
        <v>10850</v>
      </c>
      <c r="J90" s="3">
        <v>10995</v>
      </c>
      <c r="K90" s="3">
        <v>10995</v>
      </c>
      <c r="L90" s="3">
        <v>10995</v>
      </c>
      <c r="M90" s="2">
        <f>MEDIAN(C90:L90)</f>
        <v>10797.5</v>
      </c>
    </row>
    <row r="91" spans="1:13" x14ac:dyDescent="0.2">
      <c r="A91" s="4" t="s">
        <v>158</v>
      </c>
      <c r="B91" s="4" t="s">
        <v>3</v>
      </c>
      <c r="C91" s="3">
        <v>20694</v>
      </c>
      <c r="D91" s="3">
        <v>20750</v>
      </c>
      <c r="E91" s="3">
        <v>20874</v>
      </c>
      <c r="F91" s="3">
        <v>20950</v>
      </c>
      <c r="G91" s="3">
        <v>20950</v>
      </c>
      <c r="H91" s="3">
        <v>20979</v>
      </c>
      <c r="I91" s="3">
        <v>20995</v>
      </c>
      <c r="J91" s="3">
        <v>21000</v>
      </c>
      <c r="K91" s="3">
        <v>21000</v>
      </c>
      <c r="L91" s="3">
        <v>21000</v>
      </c>
      <c r="M91" s="2">
        <f t="shared" ref="M91:M99" si="9">MEDIAN(C91:L91)</f>
        <v>20964.5</v>
      </c>
    </row>
    <row r="92" spans="1:13" x14ac:dyDescent="0.2">
      <c r="A92" s="4" t="s">
        <v>158</v>
      </c>
      <c r="B92" s="4" t="s">
        <v>4</v>
      </c>
      <c r="C92" s="3">
        <v>17995</v>
      </c>
      <c r="D92" s="3">
        <v>17995</v>
      </c>
      <c r="E92" s="3">
        <v>17995</v>
      </c>
      <c r="F92" s="3">
        <v>18500</v>
      </c>
      <c r="G92" s="3">
        <v>18624</v>
      </c>
      <c r="H92" s="3">
        <v>18896</v>
      </c>
      <c r="I92" s="3">
        <v>18995</v>
      </c>
      <c r="J92" s="3">
        <v>19250</v>
      </c>
      <c r="K92" s="3">
        <v>19322</v>
      </c>
      <c r="L92" s="3">
        <v>19495</v>
      </c>
      <c r="M92" s="2">
        <f t="shared" si="9"/>
        <v>18760</v>
      </c>
    </row>
    <row r="93" spans="1:13" x14ac:dyDescent="0.2">
      <c r="A93" s="4" t="s">
        <v>158</v>
      </c>
      <c r="B93" s="4" t="s">
        <v>5</v>
      </c>
      <c r="C93" s="5">
        <v>6976</v>
      </c>
      <c r="D93" s="5">
        <v>6981</v>
      </c>
      <c r="E93" s="5">
        <v>7042</v>
      </c>
      <c r="F93" s="5">
        <v>7054</v>
      </c>
      <c r="G93" s="5">
        <v>7080</v>
      </c>
      <c r="H93" s="5">
        <v>7099</v>
      </c>
      <c r="I93" s="5">
        <v>7100</v>
      </c>
      <c r="J93" s="5">
        <v>7146</v>
      </c>
      <c r="K93" s="5">
        <v>7154</v>
      </c>
      <c r="L93" s="5">
        <v>7213</v>
      </c>
      <c r="M93" s="2">
        <f t="shared" si="9"/>
        <v>7089.5</v>
      </c>
    </row>
    <row r="94" spans="1:13" x14ac:dyDescent="0.2">
      <c r="A94" s="4" t="s">
        <v>158</v>
      </c>
      <c r="B94" s="4" t="s">
        <v>6</v>
      </c>
      <c r="C94" s="5">
        <v>29850</v>
      </c>
      <c r="D94" s="5">
        <v>29950</v>
      </c>
      <c r="E94" s="5">
        <v>31500</v>
      </c>
      <c r="F94" s="5">
        <v>32107</v>
      </c>
      <c r="G94" s="5">
        <v>32284</v>
      </c>
      <c r="H94" s="5">
        <v>32476</v>
      </c>
      <c r="I94" s="5">
        <v>32553</v>
      </c>
      <c r="J94" s="5">
        <v>32997</v>
      </c>
      <c r="K94" s="5">
        <v>33129</v>
      </c>
      <c r="L94" s="5">
        <v>33174</v>
      </c>
      <c r="M94" s="2">
        <f t="shared" si="9"/>
        <v>32380</v>
      </c>
    </row>
    <row r="95" spans="1:13" x14ac:dyDescent="0.2">
      <c r="A95" s="4" t="s">
        <v>158</v>
      </c>
      <c r="B95" s="4" t="s">
        <v>7</v>
      </c>
      <c r="C95" s="5">
        <v>81958</v>
      </c>
      <c r="D95" s="5">
        <v>89004</v>
      </c>
      <c r="E95" s="5">
        <v>89433</v>
      </c>
      <c r="F95" s="5">
        <v>92028</v>
      </c>
      <c r="G95" s="5">
        <v>92675</v>
      </c>
      <c r="H95" s="5">
        <v>93089</v>
      </c>
      <c r="I95" s="5">
        <v>94284</v>
      </c>
      <c r="J95" s="5">
        <v>94950</v>
      </c>
      <c r="K95" s="5">
        <v>95000</v>
      </c>
      <c r="L95" s="5">
        <v>96749</v>
      </c>
      <c r="M95" s="2">
        <f t="shared" si="9"/>
        <v>92882</v>
      </c>
    </row>
    <row r="96" spans="1:13" x14ac:dyDescent="0.2">
      <c r="A96" s="4" t="s">
        <v>158</v>
      </c>
      <c r="B96" s="4" t="s">
        <v>8</v>
      </c>
      <c r="C96" s="5">
        <v>53450</v>
      </c>
      <c r="D96" s="5">
        <v>54000</v>
      </c>
      <c r="E96" s="5">
        <v>54950</v>
      </c>
      <c r="F96" s="5">
        <v>54999</v>
      </c>
      <c r="G96" s="5">
        <v>55250</v>
      </c>
      <c r="H96" s="5">
        <v>56133</v>
      </c>
      <c r="I96" s="5">
        <v>56633</v>
      </c>
      <c r="J96" s="5">
        <v>57450</v>
      </c>
      <c r="K96" s="5">
        <v>57812</v>
      </c>
      <c r="L96" s="5">
        <v>58848</v>
      </c>
      <c r="M96" s="2">
        <f t="shared" si="9"/>
        <v>55691.5</v>
      </c>
    </row>
    <row r="97" spans="1:13" x14ac:dyDescent="0.2">
      <c r="A97" s="4" t="s">
        <v>158</v>
      </c>
      <c r="B97" s="4" t="s">
        <v>9</v>
      </c>
      <c r="C97" s="5">
        <v>4611</v>
      </c>
      <c r="D97" s="5">
        <v>4619</v>
      </c>
      <c r="E97" s="5">
        <v>4716</v>
      </c>
      <c r="F97" s="5">
        <v>4917</v>
      </c>
      <c r="G97" s="5">
        <v>4917</v>
      </c>
      <c r="H97" s="5">
        <v>5057</v>
      </c>
      <c r="I97" s="5">
        <v>5099</v>
      </c>
      <c r="J97" s="5">
        <v>5145</v>
      </c>
      <c r="K97" s="5">
        <v>5250</v>
      </c>
      <c r="L97" s="5">
        <v>5273</v>
      </c>
      <c r="M97" s="2">
        <f t="shared" si="9"/>
        <v>4987</v>
      </c>
    </row>
    <row r="98" spans="1:13" x14ac:dyDescent="0.2">
      <c r="A98" s="4" t="s">
        <v>158</v>
      </c>
      <c r="B98" s="4" t="s">
        <v>10</v>
      </c>
      <c r="C98" s="5">
        <v>5820</v>
      </c>
      <c r="D98" s="5">
        <v>5983</v>
      </c>
      <c r="E98" s="5">
        <v>6002</v>
      </c>
      <c r="F98" s="5">
        <v>6053</v>
      </c>
      <c r="G98" s="5">
        <v>6200</v>
      </c>
      <c r="H98" s="5">
        <v>6402</v>
      </c>
      <c r="I98" s="5">
        <v>6437</v>
      </c>
      <c r="J98" s="5">
        <v>6518</v>
      </c>
      <c r="K98" s="5">
        <v>6557</v>
      </c>
      <c r="L98" s="5">
        <v>6596</v>
      </c>
      <c r="M98" s="2">
        <f t="shared" si="9"/>
        <v>6301</v>
      </c>
    </row>
    <row r="99" spans="1:13" x14ac:dyDescent="0.2">
      <c r="A99" s="4" t="s">
        <v>158</v>
      </c>
      <c r="B99" s="4" t="s">
        <v>11</v>
      </c>
      <c r="C99" s="5">
        <v>32176</v>
      </c>
      <c r="D99" s="5">
        <v>34000</v>
      </c>
      <c r="E99" s="5">
        <v>34234</v>
      </c>
      <c r="F99" s="5">
        <v>34532</v>
      </c>
      <c r="G99" s="5">
        <v>34559</v>
      </c>
      <c r="H99" s="5">
        <v>35308</v>
      </c>
      <c r="I99" s="5">
        <v>35751</v>
      </c>
      <c r="J99" s="5">
        <v>36402</v>
      </c>
      <c r="K99" s="5">
        <v>36815</v>
      </c>
      <c r="L99" s="5">
        <v>36837</v>
      </c>
      <c r="M99" s="2">
        <f t="shared" si="9"/>
        <v>34933.5</v>
      </c>
    </row>
    <row r="100" spans="1:13" x14ac:dyDescent="0.2">
      <c r="A100" s="4"/>
      <c r="B100" s="4"/>
    </row>
    <row r="101" spans="1:13" x14ac:dyDescent="0.2">
      <c r="A101" s="4" t="s">
        <v>159</v>
      </c>
      <c r="B101" s="4" t="s">
        <v>2</v>
      </c>
      <c r="C101" s="5">
        <v>10250</v>
      </c>
      <c r="D101" s="5">
        <v>10386</v>
      </c>
      <c r="E101" s="5">
        <v>10497</v>
      </c>
      <c r="F101" s="5">
        <v>10650</v>
      </c>
      <c r="G101" s="5">
        <v>10795</v>
      </c>
      <c r="H101" s="5">
        <v>10840</v>
      </c>
      <c r="I101" s="5">
        <v>10850</v>
      </c>
      <c r="J101" s="5">
        <v>10995</v>
      </c>
      <c r="K101" s="5">
        <v>10995</v>
      </c>
      <c r="L101" s="5">
        <v>11067</v>
      </c>
      <c r="M101" s="2">
        <f>MEDIAN(C101:L101)</f>
        <v>10817.5</v>
      </c>
    </row>
    <row r="102" spans="1:13" x14ac:dyDescent="0.2">
      <c r="A102" s="4" t="s">
        <v>159</v>
      </c>
      <c r="B102" s="4" t="s">
        <v>3</v>
      </c>
      <c r="C102" s="5">
        <v>20320</v>
      </c>
      <c r="D102" s="5">
        <v>20694</v>
      </c>
      <c r="E102" s="5">
        <v>20950</v>
      </c>
      <c r="F102" s="5">
        <v>20950</v>
      </c>
      <c r="G102" s="5">
        <v>20995</v>
      </c>
      <c r="H102" s="5">
        <v>21000</v>
      </c>
      <c r="I102" s="5">
        <v>21000</v>
      </c>
      <c r="J102" s="5">
        <v>21000</v>
      </c>
      <c r="K102" s="5">
        <v>21000</v>
      </c>
      <c r="L102" s="5">
        <v>21136</v>
      </c>
      <c r="M102" s="2">
        <f t="shared" ref="M102:M110" si="10">MEDIAN(C102:L102)</f>
        <v>20997.5</v>
      </c>
    </row>
    <row r="103" spans="1:13" x14ac:dyDescent="0.2">
      <c r="A103" s="4" t="s">
        <v>159</v>
      </c>
      <c r="B103" s="4" t="s">
        <v>4</v>
      </c>
      <c r="C103" s="5">
        <v>18624</v>
      </c>
      <c r="D103" s="5">
        <v>18885</v>
      </c>
      <c r="E103" s="5">
        <v>19250</v>
      </c>
      <c r="F103" s="5">
        <v>19228</v>
      </c>
      <c r="G103" s="5">
        <v>19339</v>
      </c>
      <c r="H103" s="5">
        <v>19452</v>
      </c>
      <c r="I103" s="5">
        <v>19749</v>
      </c>
      <c r="J103" s="5">
        <v>19830</v>
      </c>
      <c r="K103" s="5">
        <v>20200</v>
      </c>
      <c r="L103" s="5">
        <v>20207</v>
      </c>
      <c r="M103" s="2">
        <f t="shared" si="10"/>
        <v>19395.5</v>
      </c>
    </row>
    <row r="104" spans="1:13" x14ac:dyDescent="0.2">
      <c r="A104" s="4" t="s">
        <v>159</v>
      </c>
      <c r="B104" s="4" t="s">
        <v>5</v>
      </c>
      <c r="C104" s="5">
        <v>6714</v>
      </c>
      <c r="D104" s="5">
        <v>6849</v>
      </c>
      <c r="E104" s="5">
        <v>6870</v>
      </c>
      <c r="F104" s="5">
        <v>6968</v>
      </c>
      <c r="G104" s="5">
        <v>6981</v>
      </c>
      <c r="H104" s="5">
        <v>6987</v>
      </c>
      <c r="I104" s="5">
        <v>7090</v>
      </c>
      <c r="J104" s="5">
        <v>7099</v>
      </c>
      <c r="K104" s="5">
        <v>7118</v>
      </c>
      <c r="L104" s="5">
        <v>7126</v>
      </c>
      <c r="M104" s="2">
        <f t="shared" si="10"/>
        <v>6984</v>
      </c>
    </row>
    <row r="105" spans="1:13" x14ac:dyDescent="0.2">
      <c r="A105" s="4" t="s">
        <v>159</v>
      </c>
      <c r="B105" s="4" t="s">
        <v>6</v>
      </c>
      <c r="C105" s="5">
        <v>29839</v>
      </c>
      <c r="D105" s="5">
        <v>29850</v>
      </c>
      <c r="E105" s="5">
        <v>29950</v>
      </c>
      <c r="F105" s="5">
        <v>31403</v>
      </c>
      <c r="G105" s="5">
        <v>31500</v>
      </c>
      <c r="H105" s="5">
        <v>31982</v>
      </c>
      <c r="I105" s="5">
        <v>32224</v>
      </c>
      <c r="J105" s="5">
        <v>32294</v>
      </c>
      <c r="K105" s="5">
        <v>32445</v>
      </c>
      <c r="L105" s="5">
        <v>32860</v>
      </c>
      <c r="M105" s="2">
        <f t="shared" si="10"/>
        <v>31741</v>
      </c>
    </row>
    <row r="106" spans="1:13" x14ac:dyDescent="0.2">
      <c r="A106" s="4" t="s">
        <v>159</v>
      </c>
      <c r="B106" s="4" t="s">
        <v>7</v>
      </c>
      <c r="C106" s="5">
        <v>81958</v>
      </c>
      <c r="D106" s="5">
        <v>89004</v>
      </c>
      <c r="E106" s="5">
        <v>89085</v>
      </c>
      <c r="F106" s="5">
        <v>89086</v>
      </c>
      <c r="G106" s="5">
        <v>91669</v>
      </c>
      <c r="H106" s="5">
        <v>91783</v>
      </c>
      <c r="I106" s="5">
        <v>92675</v>
      </c>
      <c r="J106" s="5">
        <v>93192</v>
      </c>
      <c r="K106" s="5">
        <v>93540</v>
      </c>
      <c r="L106" s="5">
        <v>94426</v>
      </c>
      <c r="M106" s="2">
        <f t="shared" si="10"/>
        <v>91726</v>
      </c>
    </row>
    <row r="107" spans="1:13" x14ac:dyDescent="0.2">
      <c r="A107" s="4" t="s">
        <v>159</v>
      </c>
      <c r="B107" s="4" t="s">
        <v>8</v>
      </c>
      <c r="C107" s="5">
        <v>53450</v>
      </c>
      <c r="D107" s="5">
        <v>54000</v>
      </c>
      <c r="E107" s="5">
        <v>54999</v>
      </c>
      <c r="F107" s="5">
        <v>55130</v>
      </c>
      <c r="G107" s="5">
        <v>55250</v>
      </c>
      <c r="H107" s="5">
        <v>55901</v>
      </c>
      <c r="I107" s="5">
        <v>56133</v>
      </c>
      <c r="J107" s="5">
        <v>56278</v>
      </c>
      <c r="K107" s="5">
        <v>58618</v>
      </c>
      <c r="L107" s="5">
        <v>58918</v>
      </c>
      <c r="M107" s="2">
        <f t="shared" si="10"/>
        <v>55575.5</v>
      </c>
    </row>
    <row r="108" spans="1:13" x14ac:dyDescent="0.2">
      <c r="A108" s="4" t="s">
        <v>159</v>
      </c>
      <c r="B108" s="4" t="s">
        <v>9</v>
      </c>
      <c r="C108" s="5">
        <v>4510</v>
      </c>
      <c r="D108" s="5">
        <v>4613</v>
      </c>
      <c r="E108" s="5">
        <v>4765</v>
      </c>
      <c r="F108" s="5">
        <v>4946</v>
      </c>
      <c r="G108" s="5">
        <v>5127</v>
      </c>
      <c r="H108" s="5">
        <v>5133</v>
      </c>
      <c r="I108" s="5">
        <v>5218</v>
      </c>
      <c r="J108" s="5">
        <v>5231</v>
      </c>
      <c r="K108" s="5">
        <v>5256</v>
      </c>
      <c r="L108" s="5">
        <v>5281</v>
      </c>
      <c r="M108" s="2">
        <f t="shared" si="10"/>
        <v>5130</v>
      </c>
    </row>
    <row r="109" spans="1:13" x14ac:dyDescent="0.2">
      <c r="A109" s="4" t="s">
        <v>159</v>
      </c>
      <c r="B109" s="4" t="s">
        <v>10</v>
      </c>
      <c r="C109" s="5">
        <v>5666</v>
      </c>
      <c r="D109" s="5">
        <v>5775</v>
      </c>
      <c r="E109" s="5">
        <v>5843</v>
      </c>
      <c r="F109" s="5">
        <v>5892</v>
      </c>
      <c r="G109" s="5">
        <v>5960</v>
      </c>
      <c r="H109" s="5">
        <v>6036</v>
      </c>
      <c r="I109" s="5">
        <v>6266</v>
      </c>
      <c r="J109" s="5">
        <v>6345</v>
      </c>
      <c r="K109" s="5">
        <v>6383</v>
      </c>
      <c r="L109" s="5">
        <v>6421</v>
      </c>
      <c r="M109" s="2">
        <f t="shared" si="10"/>
        <v>5998</v>
      </c>
    </row>
    <row r="110" spans="1:13" x14ac:dyDescent="0.2">
      <c r="A110" s="4" t="s">
        <v>159</v>
      </c>
      <c r="B110" s="4" t="s">
        <v>11</v>
      </c>
      <c r="C110" s="5">
        <v>31297</v>
      </c>
      <c r="D110" s="5">
        <v>33299</v>
      </c>
      <c r="E110" s="5">
        <v>33615</v>
      </c>
      <c r="F110" s="5">
        <v>33616</v>
      </c>
      <c r="G110" s="5">
        <v>34000</v>
      </c>
      <c r="H110" s="5">
        <v>34775</v>
      </c>
      <c r="I110" s="5">
        <v>35407</v>
      </c>
      <c r="J110" s="5">
        <v>35859</v>
      </c>
      <c r="K110" s="5">
        <v>35882</v>
      </c>
      <c r="L110" s="5">
        <v>36260</v>
      </c>
      <c r="M110" s="2">
        <f t="shared" si="10"/>
        <v>34387.5</v>
      </c>
    </row>
    <row r="111" spans="1:13" x14ac:dyDescent="0.2">
      <c r="A111" s="4"/>
      <c r="B111" s="4"/>
    </row>
    <row r="112" spans="1:13" x14ac:dyDescent="0.2">
      <c r="A112" s="4"/>
      <c r="B112" s="4"/>
    </row>
    <row r="113" spans="1:2" x14ac:dyDescent="0.2">
      <c r="A113" s="4"/>
      <c r="B113" s="4"/>
    </row>
    <row r="114" spans="1:2" x14ac:dyDescent="0.2">
      <c r="A114" s="4"/>
      <c r="B114" s="4"/>
    </row>
    <row r="115" spans="1:2" x14ac:dyDescent="0.2">
      <c r="A115" s="4"/>
      <c r="B115" s="4"/>
    </row>
    <row r="116" spans="1:2" x14ac:dyDescent="0.2">
      <c r="A116" s="4"/>
      <c r="B116" s="4"/>
    </row>
    <row r="117" spans="1:2" x14ac:dyDescent="0.2">
      <c r="A117" s="4"/>
      <c r="B117" s="4"/>
    </row>
    <row r="118" spans="1:2" x14ac:dyDescent="0.2">
      <c r="A118" s="4"/>
      <c r="B118" s="4"/>
    </row>
    <row r="119" spans="1:2" x14ac:dyDescent="0.2">
      <c r="A119" s="4"/>
      <c r="B119" s="4"/>
    </row>
    <row r="120" spans="1:2" x14ac:dyDescent="0.2">
      <c r="A120" s="4"/>
      <c r="B120" s="4"/>
    </row>
    <row r="121" spans="1:2" x14ac:dyDescent="0.2">
      <c r="A121" s="4"/>
      <c r="B121" s="4"/>
    </row>
    <row r="122" spans="1:2" x14ac:dyDescent="0.2">
      <c r="A122" s="4"/>
      <c r="B122" s="4"/>
    </row>
    <row r="123" spans="1:2" x14ac:dyDescent="0.2">
      <c r="A123" s="4"/>
      <c r="B123" s="4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271A0-F976-C949-A41F-DD26057A1318}">
  <dimension ref="A1:F23"/>
  <sheetViews>
    <sheetView topLeftCell="B1" workbookViewId="0">
      <selection activeCell="C2" sqref="C2:C11"/>
    </sheetView>
  </sheetViews>
  <sheetFormatPr baseColWidth="10" defaultRowHeight="16" x14ac:dyDescent="0.2"/>
  <cols>
    <col min="1" max="1" width="24.83203125" customWidth="1"/>
    <col min="2" max="2" width="46" customWidth="1"/>
    <col min="3" max="3" width="13.6640625" customWidth="1"/>
    <col min="4" max="4" width="13" customWidth="1"/>
    <col min="5" max="5" width="13.83203125" customWidth="1"/>
    <col min="6" max="6" width="15" customWidth="1"/>
  </cols>
  <sheetData>
    <row r="1" spans="1:6" x14ac:dyDescent="0.2">
      <c r="A1" t="s">
        <v>33</v>
      </c>
      <c r="B1" t="s">
        <v>0</v>
      </c>
      <c r="C1" t="s">
        <v>24</v>
      </c>
      <c r="D1" t="s">
        <v>25</v>
      </c>
      <c r="E1" t="s">
        <v>26</v>
      </c>
      <c r="F1" t="s">
        <v>28</v>
      </c>
    </row>
    <row r="2" spans="1:6" x14ac:dyDescent="0.2">
      <c r="A2" t="s">
        <v>34</v>
      </c>
      <c r="B2" t="s">
        <v>2</v>
      </c>
      <c r="C2">
        <f>MEDIAN(Sheet1!C101:'Sheet1'!L101)</f>
        <v>10817.5</v>
      </c>
      <c r="D2">
        <f>Sheet1!M2</f>
        <v>10222.5</v>
      </c>
      <c r="E2" s="1">
        <f>C2/D2</f>
        <v>1.0582049400831499</v>
      </c>
      <c r="F2" s="1">
        <f>AVERAGE(E2:E11)</f>
        <v>1.1225660228819723</v>
      </c>
    </row>
    <row r="3" spans="1:6" x14ac:dyDescent="0.2">
      <c r="A3" t="s">
        <v>34</v>
      </c>
      <c r="B3" t="s">
        <v>3</v>
      </c>
      <c r="C3">
        <f>MEDIAN(Sheet1!C102:'Sheet1'!L102)</f>
        <v>20997.5</v>
      </c>
      <c r="D3">
        <f>Sheet1!M3</f>
        <v>21512</v>
      </c>
      <c r="E3" s="1">
        <f t="shared" ref="E3:E11" si="0">C3/D3</f>
        <v>0.97608311640014878</v>
      </c>
    </row>
    <row r="4" spans="1:6" x14ac:dyDescent="0.2">
      <c r="A4" t="s">
        <v>34</v>
      </c>
      <c r="B4" t="s">
        <v>4</v>
      </c>
      <c r="C4">
        <f>MEDIAN(Sheet1!C103:'Sheet1'!L103)</f>
        <v>19395.5</v>
      </c>
      <c r="D4">
        <f>Sheet1!M4</f>
        <v>15200</v>
      </c>
      <c r="E4" s="1">
        <f t="shared" si="0"/>
        <v>1.2760197368421053</v>
      </c>
    </row>
    <row r="5" spans="1:6" x14ac:dyDescent="0.2">
      <c r="A5" t="s">
        <v>34</v>
      </c>
      <c r="B5" t="s">
        <v>5</v>
      </c>
      <c r="C5">
        <f>MEDIAN(Sheet1!C104:'Sheet1'!L104)</f>
        <v>6984</v>
      </c>
      <c r="D5">
        <f>Sheet1!M5</f>
        <v>5986.5</v>
      </c>
      <c r="E5" s="1">
        <f t="shared" si="0"/>
        <v>1.1666249060385869</v>
      </c>
    </row>
    <row r="6" spans="1:6" x14ac:dyDescent="0.2">
      <c r="A6" t="s">
        <v>34</v>
      </c>
      <c r="B6" t="s">
        <v>6</v>
      </c>
      <c r="C6">
        <f>MEDIAN(Sheet1!C105:'Sheet1'!L105)</f>
        <v>31741</v>
      </c>
      <c r="D6">
        <f>Sheet1!M6</f>
        <v>29269.5</v>
      </c>
      <c r="E6" s="1">
        <f t="shared" si="0"/>
        <v>1.0844394335400331</v>
      </c>
    </row>
    <row r="7" spans="1:6" x14ac:dyDescent="0.2">
      <c r="A7" t="s">
        <v>34</v>
      </c>
      <c r="B7" t="s">
        <v>7</v>
      </c>
      <c r="C7">
        <f>MEDIAN(Sheet1!C106:'Sheet1'!L106)</f>
        <v>91726</v>
      </c>
      <c r="D7">
        <f>Sheet1!M7</f>
        <v>80431</v>
      </c>
      <c r="E7" s="1">
        <f t="shared" si="0"/>
        <v>1.1404309283733884</v>
      </c>
    </row>
    <row r="8" spans="1:6" x14ac:dyDescent="0.2">
      <c r="A8" t="s">
        <v>34</v>
      </c>
      <c r="B8" t="s">
        <v>8</v>
      </c>
      <c r="C8">
        <f>MEDIAN(Sheet1!C107:'Sheet1'!L107)</f>
        <v>55575.5</v>
      </c>
      <c r="D8">
        <f>Sheet1!M8</f>
        <v>48008</v>
      </c>
      <c r="E8" s="1">
        <f t="shared" si="0"/>
        <v>1.1576299783369439</v>
      </c>
    </row>
    <row r="9" spans="1:6" x14ac:dyDescent="0.2">
      <c r="A9" t="s">
        <v>34</v>
      </c>
      <c r="B9" t="s">
        <v>9</v>
      </c>
      <c r="C9">
        <f>MEDIAN(Sheet1!C108:'Sheet1'!L108)</f>
        <v>5130</v>
      </c>
      <c r="D9">
        <f>Sheet1!M9</f>
        <v>4424.5</v>
      </c>
      <c r="E9" s="1">
        <f t="shared" si="0"/>
        <v>1.1594530455418692</v>
      </c>
    </row>
    <row r="10" spans="1:6" x14ac:dyDescent="0.2">
      <c r="A10" t="s">
        <v>34</v>
      </c>
      <c r="B10" t="s">
        <v>10</v>
      </c>
      <c r="C10">
        <f>MEDIAN(Sheet1!C109:'Sheet1'!L109)</f>
        <v>5998</v>
      </c>
      <c r="D10">
        <f>Sheet1!M10</f>
        <v>5400</v>
      </c>
      <c r="E10" s="1">
        <f t="shared" si="0"/>
        <v>1.1107407407407408</v>
      </c>
    </row>
    <row r="11" spans="1:6" x14ac:dyDescent="0.2">
      <c r="A11" t="s">
        <v>34</v>
      </c>
      <c r="B11" t="s">
        <v>11</v>
      </c>
      <c r="C11">
        <f>MEDIAN(Sheet1!C110:'Sheet1'!L110)</f>
        <v>34387.5</v>
      </c>
      <c r="D11">
        <f>Sheet1!M11</f>
        <v>31374.5</v>
      </c>
      <c r="E11" s="1">
        <f t="shared" si="0"/>
        <v>1.0960334029227556</v>
      </c>
    </row>
    <row r="14" spans="1:6" x14ac:dyDescent="0.2">
      <c r="E14" s="1"/>
      <c r="F14" s="1"/>
    </row>
    <row r="15" spans="1:6" x14ac:dyDescent="0.2">
      <c r="E15" s="1"/>
    </row>
    <row r="16" spans="1:6" x14ac:dyDescent="0.2">
      <c r="E16" s="1"/>
    </row>
    <row r="17" spans="5:5" x14ac:dyDescent="0.2">
      <c r="E17" s="1"/>
    </row>
    <row r="18" spans="5:5" x14ac:dyDescent="0.2">
      <c r="E18" s="1"/>
    </row>
    <row r="19" spans="5:5" x14ac:dyDescent="0.2">
      <c r="E19" s="1"/>
    </row>
    <row r="20" spans="5:5" x14ac:dyDescent="0.2">
      <c r="E20" s="1"/>
    </row>
    <row r="21" spans="5:5" x14ac:dyDescent="0.2">
      <c r="E21" s="1"/>
    </row>
    <row r="22" spans="5:5" x14ac:dyDescent="0.2">
      <c r="E22" s="1"/>
    </row>
    <row r="23" spans="5:5" x14ac:dyDescent="0.2">
      <c r="E23" s="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3EAE9-A1E1-A64E-8DEB-AFA18037938B}">
  <dimension ref="A1:D11"/>
  <sheetViews>
    <sheetView tabSelected="1" workbookViewId="0">
      <selection activeCell="D12" sqref="D12"/>
    </sheetView>
  </sheetViews>
  <sheetFormatPr baseColWidth="10" defaultRowHeight="16" x14ac:dyDescent="0.2"/>
  <cols>
    <col min="1" max="1" width="16.5" customWidth="1"/>
    <col min="2" max="2" width="19.33203125" customWidth="1"/>
    <col min="3" max="3" width="24.6640625" customWidth="1"/>
    <col min="4" max="4" width="25.33203125" customWidth="1"/>
    <col min="6" max="6" width="18.5" customWidth="1"/>
    <col min="7" max="7" width="19.5" customWidth="1"/>
  </cols>
  <sheetData>
    <row r="1" spans="1:4" x14ac:dyDescent="0.2">
      <c r="A1" t="s">
        <v>27</v>
      </c>
      <c r="B1" t="s">
        <v>28</v>
      </c>
      <c r="C1" t="s">
        <v>30</v>
      </c>
      <c r="D1" t="s">
        <v>31</v>
      </c>
    </row>
    <row r="2" spans="1:4" x14ac:dyDescent="0.2">
      <c r="A2" t="s">
        <v>29</v>
      </c>
      <c r="B2" s="1">
        <v>1</v>
      </c>
      <c r="C2" s="1">
        <v>0</v>
      </c>
      <c r="D2" s="1">
        <v>0</v>
      </c>
    </row>
    <row r="3" spans="1:4" x14ac:dyDescent="0.2">
      <c r="A3" t="s">
        <v>32</v>
      </c>
      <c r="B3" s="1">
        <v>0.99450000000000005</v>
      </c>
      <c r="C3" s="1">
        <f>(B3-B2)/B2</f>
        <v>-5.4999999999999494E-3</v>
      </c>
      <c r="D3" s="1">
        <f>(B3-$B$2)/$B$2</f>
        <v>-5.4999999999999494E-3</v>
      </c>
    </row>
    <row r="4" spans="1:4" x14ac:dyDescent="0.2">
      <c r="A4" t="s">
        <v>34</v>
      </c>
      <c r="B4" s="1">
        <v>1.0686</v>
      </c>
      <c r="C4" s="1">
        <v>7.4099999999999999E-2</v>
      </c>
      <c r="D4" s="1">
        <v>6.8599999999999994E-2</v>
      </c>
    </row>
    <row r="5" spans="1:4" x14ac:dyDescent="0.2">
      <c r="A5" t="s">
        <v>35</v>
      </c>
      <c r="B5" s="1">
        <v>1.0814999999999999</v>
      </c>
      <c r="C5" s="1">
        <v>1.29E-2</v>
      </c>
      <c r="D5" s="1">
        <v>8.1500000000000003E-2</v>
      </c>
    </row>
    <row r="6" spans="1:4" x14ac:dyDescent="0.2">
      <c r="A6" t="s">
        <v>37</v>
      </c>
      <c r="B6" s="1">
        <v>1.0825</v>
      </c>
      <c r="C6" s="1">
        <v>1E-3</v>
      </c>
      <c r="D6" s="1">
        <v>8.2500000000000004E-2</v>
      </c>
    </row>
    <row r="7" spans="1:4" x14ac:dyDescent="0.2">
      <c r="A7" t="s">
        <v>38</v>
      </c>
      <c r="B7" s="1">
        <v>1.1213</v>
      </c>
      <c r="C7" s="1">
        <f>B7-B6</f>
        <v>3.8799999999999946E-2</v>
      </c>
      <c r="D7" s="1">
        <v>0.12130000000000001</v>
      </c>
    </row>
    <row r="8" spans="1:4" x14ac:dyDescent="0.2">
      <c r="A8" t="s">
        <v>156</v>
      </c>
      <c r="B8" s="1">
        <v>1.1196999999999999</v>
      </c>
      <c r="C8" s="1">
        <f>B8-B7</f>
        <v>-1.6000000000000458E-3</v>
      </c>
      <c r="D8" s="1">
        <v>0.1197</v>
      </c>
    </row>
    <row r="9" spans="1:4" x14ac:dyDescent="0.2">
      <c r="A9" t="s">
        <v>157</v>
      </c>
      <c r="B9" s="1">
        <v>1.1234</v>
      </c>
      <c r="C9" s="1">
        <f>B9-B8</f>
        <v>3.7000000000000366E-3</v>
      </c>
      <c r="D9" s="1">
        <v>0.1234</v>
      </c>
    </row>
    <row r="10" spans="1:4" x14ac:dyDescent="0.2">
      <c r="A10" t="s">
        <v>158</v>
      </c>
      <c r="B10" s="1">
        <v>1.1277999999999999</v>
      </c>
      <c r="C10" s="1">
        <f>B10-B9</f>
        <v>4.3999999999999595E-3</v>
      </c>
      <c r="D10" s="1">
        <v>0.1278</v>
      </c>
    </row>
    <row r="11" spans="1:4" x14ac:dyDescent="0.2">
      <c r="A11" t="s">
        <v>159</v>
      </c>
      <c r="B11" s="1">
        <v>1.1226</v>
      </c>
      <c r="C11" s="1">
        <f>B11-B10</f>
        <v>-5.1999999999998714E-3</v>
      </c>
      <c r="D11" s="1">
        <v>0.1226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0D0F2-9652-9743-8713-BFBDAE4FB53C}">
  <dimension ref="A1:F21"/>
  <sheetViews>
    <sheetView workbookViewId="0">
      <selection activeCell="D26" sqref="D26"/>
    </sheetView>
  </sheetViews>
  <sheetFormatPr baseColWidth="10" defaultRowHeight="16" x14ac:dyDescent="0.2"/>
  <cols>
    <col min="1" max="1" width="11.1640625" bestFit="1" customWidth="1"/>
    <col min="2" max="5" width="16.83203125" bestFit="1" customWidth="1"/>
    <col min="6" max="6" width="12.1640625" bestFit="1" customWidth="1"/>
  </cols>
  <sheetData>
    <row r="1" spans="1:6" x14ac:dyDescent="0.2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</row>
    <row r="2" spans="1:6" x14ac:dyDescent="0.2">
      <c r="A2" t="s">
        <v>45</v>
      </c>
      <c r="B2" t="s">
        <v>46</v>
      </c>
      <c r="C2" t="s">
        <v>47</v>
      </c>
      <c r="D2" t="s">
        <v>48</v>
      </c>
      <c r="E2" t="s">
        <v>49</v>
      </c>
      <c r="F2" t="s">
        <v>50</v>
      </c>
    </row>
    <row r="3" spans="1:6" x14ac:dyDescent="0.2">
      <c r="A3" t="s">
        <v>51</v>
      </c>
      <c r="B3" t="s">
        <v>52</v>
      </c>
      <c r="C3" t="s">
        <v>52</v>
      </c>
      <c r="D3" t="s">
        <v>52</v>
      </c>
      <c r="E3" t="s">
        <v>52</v>
      </c>
      <c r="F3" t="s">
        <v>52</v>
      </c>
    </row>
    <row r="4" spans="1:6" x14ac:dyDescent="0.2">
      <c r="A4" t="s">
        <v>27</v>
      </c>
      <c r="B4" t="s">
        <v>53</v>
      </c>
      <c r="C4" t="s">
        <v>53</v>
      </c>
      <c r="D4" t="s">
        <v>53</v>
      </c>
      <c r="E4" t="s">
        <v>53</v>
      </c>
      <c r="F4" t="s">
        <v>53</v>
      </c>
    </row>
    <row r="5" spans="1:6" x14ac:dyDescent="0.2">
      <c r="A5" t="s">
        <v>54</v>
      </c>
      <c r="B5" t="s">
        <v>55</v>
      </c>
      <c r="C5" t="s">
        <v>56</v>
      </c>
      <c r="D5" t="s">
        <v>57</v>
      </c>
      <c r="E5" t="s">
        <v>58</v>
      </c>
      <c r="F5" t="s">
        <v>59</v>
      </c>
    </row>
    <row r="6" spans="1:6" x14ac:dyDescent="0.2">
      <c r="A6" t="s">
        <v>60</v>
      </c>
      <c r="B6" t="s">
        <v>61</v>
      </c>
      <c r="C6" t="s">
        <v>62</v>
      </c>
      <c r="D6" t="s">
        <v>63</v>
      </c>
      <c r="E6" t="s">
        <v>64</v>
      </c>
      <c r="F6" t="s">
        <v>65</v>
      </c>
    </row>
    <row r="7" spans="1:6" x14ac:dyDescent="0.2">
      <c r="A7" t="s">
        <v>66</v>
      </c>
      <c r="B7" t="s">
        <v>67</v>
      </c>
      <c r="C7" t="s">
        <v>68</v>
      </c>
      <c r="D7" t="s">
        <v>69</v>
      </c>
      <c r="E7" t="s">
        <v>70</v>
      </c>
      <c r="F7" t="s">
        <v>71</v>
      </c>
    </row>
    <row r="8" spans="1:6" x14ac:dyDescent="0.2">
      <c r="A8" t="s">
        <v>72</v>
      </c>
      <c r="B8" t="s">
        <v>73</v>
      </c>
      <c r="C8" t="s">
        <v>74</v>
      </c>
      <c r="D8" t="s">
        <v>75</v>
      </c>
      <c r="E8" t="s">
        <v>76</v>
      </c>
      <c r="F8" t="s">
        <v>77</v>
      </c>
    </row>
    <row r="9" spans="1:6" x14ac:dyDescent="0.2">
      <c r="A9" t="s">
        <v>78</v>
      </c>
      <c r="B9" t="s">
        <v>79</v>
      </c>
      <c r="C9" t="s">
        <v>80</v>
      </c>
      <c r="D9" t="s">
        <v>81</v>
      </c>
      <c r="E9" t="s">
        <v>82</v>
      </c>
      <c r="F9" t="s">
        <v>83</v>
      </c>
    </row>
    <row r="10" spans="1:6" x14ac:dyDescent="0.2">
      <c r="A10" t="s">
        <v>84</v>
      </c>
      <c r="B10" t="s">
        <v>85</v>
      </c>
      <c r="C10" t="s">
        <v>86</v>
      </c>
      <c r="D10" t="s">
        <v>87</v>
      </c>
      <c r="E10" t="s">
        <v>88</v>
      </c>
      <c r="F10" t="s">
        <v>89</v>
      </c>
    </row>
    <row r="11" spans="1:6" x14ac:dyDescent="0.2">
      <c r="A11" t="s">
        <v>90</v>
      </c>
      <c r="B11" t="s">
        <v>91</v>
      </c>
      <c r="C11" t="s">
        <v>92</v>
      </c>
      <c r="D11" t="s">
        <v>93</v>
      </c>
      <c r="E11" t="s">
        <v>94</v>
      </c>
      <c r="F11" t="s">
        <v>95</v>
      </c>
    </row>
    <row r="12" spans="1:6" x14ac:dyDescent="0.2">
      <c r="A12" t="s">
        <v>96</v>
      </c>
      <c r="B12" t="s">
        <v>97</v>
      </c>
      <c r="C12" t="s">
        <v>98</v>
      </c>
      <c r="D12" t="s">
        <v>99</v>
      </c>
      <c r="E12" t="s">
        <v>100</v>
      </c>
      <c r="F12" t="s">
        <v>101</v>
      </c>
    </row>
    <row r="13" spans="1:6" x14ac:dyDescent="0.2">
      <c r="A13" t="s">
        <v>102</v>
      </c>
      <c r="B13" t="s">
        <v>103</v>
      </c>
      <c r="C13" t="s">
        <v>104</v>
      </c>
      <c r="D13" t="s">
        <v>105</v>
      </c>
      <c r="E13" t="s">
        <v>106</v>
      </c>
      <c r="F13" t="s">
        <v>107</v>
      </c>
    </row>
    <row r="14" spans="1:6" x14ac:dyDescent="0.2">
      <c r="A14" t="s">
        <v>108</v>
      </c>
      <c r="B14" t="s">
        <v>109</v>
      </c>
      <c r="C14" t="s">
        <v>110</v>
      </c>
      <c r="D14" t="s">
        <v>111</v>
      </c>
      <c r="E14" t="s">
        <v>112</v>
      </c>
      <c r="F14" t="s">
        <v>113</v>
      </c>
    </row>
    <row r="15" spans="1:6" x14ac:dyDescent="0.2">
      <c r="A15" t="s">
        <v>114</v>
      </c>
      <c r="B15" t="s">
        <v>115</v>
      </c>
      <c r="C15" t="s">
        <v>116</v>
      </c>
      <c r="D15" t="s">
        <v>117</v>
      </c>
      <c r="E15" t="s">
        <v>118</v>
      </c>
      <c r="F15" t="s">
        <v>119</v>
      </c>
    </row>
    <row r="16" spans="1:6" x14ac:dyDescent="0.2">
      <c r="A16" t="s">
        <v>120</v>
      </c>
      <c r="B16" t="s">
        <v>121</v>
      </c>
      <c r="C16" t="s">
        <v>122</v>
      </c>
      <c r="D16" t="s">
        <v>123</v>
      </c>
      <c r="E16" t="s">
        <v>124</v>
      </c>
      <c r="F16" t="s">
        <v>125</v>
      </c>
    </row>
    <row r="17" spans="1:6" x14ac:dyDescent="0.2">
      <c r="A17" t="s">
        <v>126</v>
      </c>
      <c r="B17" t="s">
        <v>127</v>
      </c>
      <c r="C17" t="s">
        <v>128</v>
      </c>
      <c r="D17" t="s">
        <v>129</v>
      </c>
      <c r="E17" t="s">
        <v>130</v>
      </c>
      <c r="F17" t="s">
        <v>131</v>
      </c>
    </row>
    <row r="18" spans="1:6" x14ac:dyDescent="0.2">
      <c r="A18" t="s">
        <v>132</v>
      </c>
      <c r="B18" t="s">
        <v>133</v>
      </c>
      <c r="C18" t="s">
        <v>134</v>
      </c>
      <c r="D18" t="s">
        <v>135</v>
      </c>
      <c r="E18" t="s">
        <v>136</v>
      </c>
      <c r="F18" t="s">
        <v>137</v>
      </c>
    </row>
    <row r="19" spans="1:6" x14ac:dyDescent="0.2">
      <c r="A19" t="s">
        <v>138</v>
      </c>
      <c r="B19" t="s">
        <v>139</v>
      </c>
      <c r="C19" t="s">
        <v>140</v>
      </c>
      <c r="D19" t="s">
        <v>141</v>
      </c>
      <c r="E19" t="s">
        <v>142</v>
      </c>
      <c r="F19" t="s">
        <v>143</v>
      </c>
    </row>
    <row r="20" spans="1:6" x14ac:dyDescent="0.2">
      <c r="A20" t="s">
        <v>144</v>
      </c>
      <c r="B20" t="s">
        <v>145</v>
      </c>
      <c r="C20" t="s">
        <v>146</v>
      </c>
      <c r="D20" t="s">
        <v>147</v>
      </c>
      <c r="E20" t="s">
        <v>148</v>
      </c>
      <c r="F20" t="s">
        <v>149</v>
      </c>
    </row>
    <row r="21" spans="1:6" x14ac:dyDescent="0.2">
      <c r="A21" t="s">
        <v>150</v>
      </c>
      <c r="B21" t="s">
        <v>151</v>
      </c>
      <c r="C21" t="s">
        <v>152</v>
      </c>
      <c r="D21" t="s">
        <v>153</v>
      </c>
      <c r="E21" t="s">
        <v>154</v>
      </c>
      <c r="F21" t="s">
        <v>155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251A7-8274-7643-8863-0DB0700A33E9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AE33F1-3D14-6B4E-8D2B-91ADBEFF46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sp500_weekly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Stone</dc:creator>
  <cp:lastModifiedBy>Benjamin Stone</cp:lastModifiedBy>
  <dcterms:created xsi:type="dcterms:W3CDTF">2025-12-01T23:57:42Z</dcterms:created>
  <dcterms:modified xsi:type="dcterms:W3CDTF">2026-04-14T17:37:46Z</dcterms:modified>
</cp:coreProperties>
</file>